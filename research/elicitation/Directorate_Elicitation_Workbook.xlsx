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hari\Desktop\RL Project\elicitation\"/>
    </mc:Choice>
  </mc:AlternateContent>
  <xr:revisionPtr revIDLastSave="0" documentId="13_ncr:1_{7106B028-569A-4899-AEE9-2BAB397D281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README" sheetId="1" r:id="rId1"/>
    <sheet name="Progress" sheetId="2" r:id="rId2"/>
    <sheet name="Scale" sheetId="3" r:id="rId3"/>
    <sheet name="Causes" sheetId="4" r:id="rId4"/>
    <sheet name="Checks" sheetId="5" r:id="rId5"/>
    <sheet name="Symptoms" sheetId="6" r:id="rId6"/>
    <sheet name="Context" sheetId="7" r:id="rId7"/>
    <sheet name="Check likelihoods" sheetId="8" r:id="rId8"/>
    <sheet name="Symptom likelihoods" sheetId="9" r:id="rId9"/>
    <sheet name="Check probabilities" sheetId="10" r:id="rId10"/>
    <sheet name="Symptom probabilities" sheetId="11" r:id="rId11"/>
    <sheet name="Rules" sheetId="12" r:id="rId12"/>
    <sheet name="Costs (optional)" sheetId="13" r:id="rId13"/>
  </sheets>
  <definedNames>
    <definedName name="_xlnm._FilterDatabase" localSheetId="3" hidden="1">Causes!$A$4:$J$30</definedName>
    <definedName name="_xlnm._FilterDatabase" localSheetId="4" hidden="1">Checks!$A$4:$L$25</definedName>
    <definedName name="_xlnm._FilterDatabase" localSheetId="6" hidden="1">Context!$A$4:$F$11</definedName>
    <definedName name="_xlnm._FilterDatabase" localSheetId="11" hidden="1">Rules!$A$4:$H$15</definedName>
    <definedName name="_xlnm._FilterDatabase" localSheetId="5" hidden="1">Symptoms!$A$4:$E$20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2" l="1"/>
  <c r="E14" i="12"/>
  <c r="E13" i="12"/>
  <c r="E12" i="12"/>
  <c r="E11" i="12"/>
  <c r="E10" i="12"/>
  <c r="E9" i="12"/>
  <c r="E8" i="12"/>
  <c r="E7" i="12"/>
  <c r="E6" i="12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B11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30" i="9"/>
  <c r="C30" i="11" s="1"/>
  <c r="B30" i="9"/>
  <c r="B30" i="11" s="1"/>
  <c r="A30" i="9"/>
  <c r="A30" i="11" s="1"/>
  <c r="C29" i="9"/>
  <c r="B29" i="9"/>
  <c r="A29" i="9"/>
  <c r="C28" i="9"/>
  <c r="B28" i="9"/>
  <c r="A28" i="9"/>
  <c r="C27" i="9"/>
  <c r="B27" i="9"/>
  <c r="B27" i="11" s="1"/>
  <c r="A27" i="9"/>
  <c r="A27" i="11" s="1"/>
  <c r="C26" i="9"/>
  <c r="B26" i="9"/>
  <c r="A26" i="9"/>
  <c r="C25" i="9"/>
  <c r="B25" i="9"/>
  <c r="A25" i="9"/>
  <c r="C24" i="9"/>
  <c r="B24" i="9"/>
  <c r="A24" i="9"/>
  <c r="C23" i="9"/>
  <c r="B23" i="9"/>
  <c r="A23" i="9"/>
  <c r="C22" i="9"/>
  <c r="C22" i="11" s="1"/>
  <c r="B22" i="9"/>
  <c r="B22" i="11" s="1"/>
  <c r="A22" i="9"/>
  <c r="A22" i="11" s="1"/>
  <c r="C21" i="9"/>
  <c r="C21" i="11" s="1"/>
  <c r="B21" i="9"/>
  <c r="B21" i="11" s="1"/>
  <c r="A21" i="9"/>
  <c r="A21" i="11" s="1"/>
  <c r="C20" i="9"/>
  <c r="C20" i="11" s="1"/>
  <c r="B20" i="9"/>
  <c r="B20" i="11" s="1"/>
  <c r="A20" i="9"/>
  <c r="A20" i="11" s="1"/>
  <c r="C19" i="9"/>
  <c r="C19" i="11" s="1"/>
  <c r="B19" i="9"/>
  <c r="B19" i="11" s="1"/>
  <c r="A19" i="9"/>
  <c r="A19" i="11" s="1"/>
  <c r="C18" i="9"/>
  <c r="C18" i="11" s="1"/>
  <c r="B18" i="9"/>
  <c r="B18" i="11" s="1"/>
  <c r="A18" i="9"/>
  <c r="A18" i="11" s="1"/>
  <c r="C17" i="9"/>
  <c r="C17" i="11" s="1"/>
  <c r="B17" i="9"/>
  <c r="B17" i="11" s="1"/>
  <c r="A17" i="9"/>
  <c r="A17" i="11" s="1"/>
  <c r="C16" i="9"/>
  <c r="C16" i="11" s="1"/>
  <c r="B16" i="9"/>
  <c r="B16" i="11" s="1"/>
  <c r="A16" i="9"/>
  <c r="A16" i="11" s="1"/>
  <c r="C15" i="9"/>
  <c r="C15" i="11" s="1"/>
  <c r="B15" i="9"/>
  <c r="B15" i="11" s="1"/>
  <c r="A15" i="9"/>
  <c r="A15" i="11" s="1"/>
  <c r="C14" i="9"/>
  <c r="C14" i="11" s="1"/>
  <c r="B14" i="9"/>
  <c r="B14" i="11" s="1"/>
  <c r="A14" i="9"/>
  <c r="A14" i="11" s="1"/>
  <c r="C13" i="9"/>
  <c r="C13" i="11" s="1"/>
  <c r="B13" i="9"/>
  <c r="B13" i="11" s="1"/>
  <c r="A13" i="9"/>
  <c r="A13" i="11" s="1"/>
  <c r="C12" i="9"/>
  <c r="C12" i="11" s="1"/>
  <c r="B12" i="9"/>
  <c r="B12" i="11" s="1"/>
  <c r="A12" i="9"/>
  <c r="A12" i="11" s="1"/>
  <c r="C11" i="9"/>
  <c r="C11" i="11" s="1"/>
  <c r="B11" i="9"/>
  <c r="A11" i="9"/>
  <c r="A11" i="11" s="1"/>
  <c r="C10" i="9"/>
  <c r="C10" i="11" s="1"/>
  <c r="B10" i="9"/>
  <c r="B10" i="11" s="1"/>
  <c r="A10" i="9"/>
  <c r="A10" i="11" s="1"/>
  <c r="C9" i="9"/>
  <c r="C9" i="11" s="1"/>
  <c r="B9" i="9"/>
  <c r="B9" i="11" s="1"/>
  <c r="A9" i="9"/>
  <c r="A9" i="11" s="1"/>
  <c r="C8" i="9"/>
  <c r="C8" i="11" s="1"/>
  <c r="B8" i="9"/>
  <c r="B8" i="11" s="1"/>
  <c r="A8" i="9"/>
  <c r="A8" i="11" s="1"/>
  <c r="C7" i="9"/>
  <c r="C7" i="11" s="1"/>
  <c r="B7" i="9"/>
  <c r="B7" i="11" s="1"/>
  <c r="A7" i="9"/>
  <c r="A7" i="11" s="1"/>
  <c r="C6" i="9"/>
  <c r="C6" i="11" s="1"/>
  <c r="B6" i="9"/>
  <c r="B6" i="11" s="1"/>
  <c r="A6" i="9"/>
  <c r="A6" i="11" s="1"/>
  <c r="R4" i="9"/>
  <c r="R4" i="11" s="1"/>
  <c r="Q4" i="9"/>
  <c r="Q4" i="11" s="1"/>
  <c r="P4" i="9"/>
  <c r="P4" i="11" s="1"/>
  <c r="O4" i="9"/>
  <c r="O4" i="11" s="1"/>
  <c r="N4" i="9"/>
  <c r="N4" i="11" s="1"/>
  <c r="M4" i="9"/>
  <c r="M4" i="11" s="1"/>
  <c r="L4" i="9"/>
  <c r="L4" i="11" s="1"/>
  <c r="K4" i="9"/>
  <c r="K4" i="11" s="1"/>
  <c r="J4" i="9"/>
  <c r="J4" i="11" s="1"/>
  <c r="I4" i="9"/>
  <c r="I4" i="11" s="1"/>
  <c r="H4" i="9"/>
  <c r="H4" i="11" s="1"/>
  <c r="G4" i="9"/>
  <c r="G4" i="11" s="1"/>
  <c r="F4" i="9"/>
  <c r="F4" i="11" s="1"/>
  <c r="E4" i="9"/>
  <c r="E4" i="11" s="1"/>
  <c r="D4" i="9"/>
  <c r="D4" i="11" s="1"/>
  <c r="C30" i="8"/>
  <c r="C30" i="10" s="1"/>
  <c r="B30" i="8"/>
  <c r="B30" i="10" s="1"/>
  <c r="A30" i="8"/>
  <c r="A30" i="10" s="1"/>
  <c r="C29" i="8"/>
  <c r="C29" i="10" s="1"/>
  <c r="B29" i="8"/>
  <c r="B29" i="10" s="1"/>
  <c r="A29" i="8"/>
  <c r="A29" i="10" s="1"/>
  <c r="C28" i="8"/>
  <c r="C28" i="10" s="1"/>
  <c r="B28" i="8"/>
  <c r="B28" i="10" s="1"/>
  <c r="A28" i="8"/>
  <c r="A28" i="10" s="1"/>
  <c r="C27" i="8"/>
  <c r="C27" i="10" s="1"/>
  <c r="B27" i="8"/>
  <c r="B27" i="10" s="1"/>
  <c r="A27" i="8"/>
  <c r="A27" i="10" s="1"/>
  <c r="C26" i="8"/>
  <c r="C26" i="10" s="1"/>
  <c r="B26" i="8"/>
  <c r="B26" i="10" s="1"/>
  <c r="A26" i="8"/>
  <c r="A26" i="10" s="1"/>
  <c r="C25" i="8"/>
  <c r="C25" i="10" s="1"/>
  <c r="B25" i="8"/>
  <c r="B25" i="10" s="1"/>
  <c r="A25" i="8"/>
  <c r="A25" i="10" s="1"/>
  <c r="C24" i="8"/>
  <c r="C24" i="10" s="1"/>
  <c r="B24" i="8"/>
  <c r="B24" i="10" s="1"/>
  <c r="A24" i="8"/>
  <c r="A24" i="10" s="1"/>
  <c r="C23" i="8"/>
  <c r="C23" i="10" s="1"/>
  <c r="B23" i="8"/>
  <c r="B23" i="10" s="1"/>
  <c r="A23" i="8"/>
  <c r="A23" i="10" s="1"/>
  <c r="C22" i="8"/>
  <c r="C22" i="10" s="1"/>
  <c r="B22" i="8"/>
  <c r="B22" i="10" s="1"/>
  <c r="A22" i="8"/>
  <c r="A22" i="10" s="1"/>
  <c r="C21" i="8"/>
  <c r="C21" i="10" s="1"/>
  <c r="B21" i="8"/>
  <c r="B21" i="10" s="1"/>
  <c r="A21" i="8"/>
  <c r="A21" i="10" s="1"/>
  <c r="C20" i="8"/>
  <c r="C20" i="10" s="1"/>
  <c r="B20" i="8"/>
  <c r="B20" i="10" s="1"/>
  <c r="A20" i="8"/>
  <c r="A20" i="10" s="1"/>
  <c r="C19" i="8"/>
  <c r="C19" i="10" s="1"/>
  <c r="B19" i="8"/>
  <c r="B19" i="10" s="1"/>
  <c r="A19" i="8"/>
  <c r="A19" i="10" s="1"/>
  <c r="C18" i="8"/>
  <c r="C18" i="10" s="1"/>
  <c r="B18" i="8"/>
  <c r="B18" i="10" s="1"/>
  <c r="A18" i="8"/>
  <c r="A18" i="10" s="1"/>
  <c r="C17" i="8"/>
  <c r="C17" i="10" s="1"/>
  <c r="B17" i="8"/>
  <c r="B17" i="10" s="1"/>
  <c r="A17" i="8"/>
  <c r="A17" i="10" s="1"/>
  <c r="C16" i="8"/>
  <c r="C16" i="10" s="1"/>
  <c r="B16" i="8"/>
  <c r="B16" i="10" s="1"/>
  <c r="A16" i="8"/>
  <c r="A16" i="10" s="1"/>
  <c r="C15" i="8"/>
  <c r="C15" i="10" s="1"/>
  <c r="B15" i="8"/>
  <c r="B15" i="10" s="1"/>
  <c r="A15" i="8"/>
  <c r="A15" i="10" s="1"/>
  <c r="C14" i="8"/>
  <c r="C14" i="10" s="1"/>
  <c r="B14" i="8"/>
  <c r="B14" i="10" s="1"/>
  <c r="A14" i="8"/>
  <c r="A14" i="10" s="1"/>
  <c r="C13" i="8"/>
  <c r="C13" i="10" s="1"/>
  <c r="B13" i="8"/>
  <c r="B13" i="10" s="1"/>
  <c r="A13" i="8"/>
  <c r="A13" i="10" s="1"/>
  <c r="C12" i="8"/>
  <c r="C12" i="10" s="1"/>
  <c r="B12" i="8"/>
  <c r="B12" i="10" s="1"/>
  <c r="A12" i="8"/>
  <c r="A12" i="10" s="1"/>
  <c r="C11" i="8"/>
  <c r="C11" i="10" s="1"/>
  <c r="B11" i="8"/>
  <c r="B11" i="10" s="1"/>
  <c r="A11" i="8"/>
  <c r="A11" i="10" s="1"/>
  <c r="C10" i="8"/>
  <c r="C10" i="10" s="1"/>
  <c r="B10" i="8"/>
  <c r="B10" i="10" s="1"/>
  <c r="A10" i="8"/>
  <c r="A10" i="10" s="1"/>
  <c r="C9" i="8"/>
  <c r="C9" i="10" s="1"/>
  <c r="B9" i="8"/>
  <c r="B9" i="10" s="1"/>
  <c r="A9" i="8"/>
  <c r="A9" i="10" s="1"/>
  <c r="C8" i="8"/>
  <c r="C8" i="10" s="1"/>
  <c r="B8" i="8"/>
  <c r="B8" i="10" s="1"/>
  <c r="A8" i="8"/>
  <c r="A8" i="10" s="1"/>
  <c r="C7" i="8"/>
  <c r="C7" i="10" s="1"/>
  <c r="B7" i="8"/>
  <c r="B7" i="10" s="1"/>
  <c r="A7" i="8"/>
  <c r="A7" i="10" s="1"/>
  <c r="C6" i="8"/>
  <c r="C6" i="10" s="1"/>
  <c r="B6" i="8"/>
  <c r="B6" i="10" s="1"/>
  <c r="A6" i="8"/>
  <c r="A6" i="10" s="1"/>
  <c r="W4" i="8"/>
  <c r="W4" i="10" s="1"/>
  <c r="V4" i="8"/>
  <c r="V4" i="10" s="1"/>
  <c r="U4" i="8"/>
  <c r="U4" i="10" s="1"/>
  <c r="T4" i="8"/>
  <c r="T4" i="10" s="1"/>
  <c r="S4" i="8"/>
  <c r="S4" i="10" s="1"/>
  <c r="R4" i="8"/>
  <c r="R4" i="10" s="1"/>
  <c r="Q4" i="8"/>
  <c r="Q4" i="10" s="1"/>
  <c r="P4" i="8"/>
  <c r="P4" i="10" s="1"/>
  <c r="O4" i="8"/>
  <c r="O4" i="10" s="1"/>
  <c r="N4" i="8"/>
  <c r="N4" i="10" s="1"/>
  <c r="M4" i="8"/>
  <c r="M4" i="10" s="1"/>
  <c r="L4" i="8"/>
  <c r="L4" i="10" s="1"/>
  <c r="K4" i="8"/>
  <c r="K4" i="10" s="1"/>
  <c r="J4" i="8"/>
  <c r="J4" i="10" s="1"/>
  <c r="I4" i="8"/>
  <c r="I4" i="10" s="1"/>
  <c r="H4" i="8"/>
  <c r="H4" i="10" s="1"/>
  <c r="G4" i="8"/>
  <c r="G4" i="10" s="1"/>
  <c r="F4" i="8"/>
  <c r="F4" i="10" s="1"/>
  <c r="E4" i="8"/>
  <c r="E4" i="10" s="1"/>
  <c r="D4" i="8"/>
  <c r="D4" i="10" s="1"/>
  <c r="B10" i="3"/>
  <c r="B21" i="2"/>
  <c r="B20" i="2"/>
  <c r="B19" i="2"/>
  <c r="B18" i="2"/>
  <c r="B15" i="2"/>
  <c r="D15" i="2" s="1"/>
  <c r="B14" i="2"/>
  <c r="B13" i="2"/>
  <c r="D13" i="2" s="1"/>
  <c r="D12" i="2"/>
  <c r="B12" i="2"/>
  <c r="D11" i="2"/>
  <c r="B11" i="2"/>
  <c r="C14" i="2" s="1"/>
  <c r="D14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2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Workbook</author>
  </authors>
  <commentList>
    <comment ref="B1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Researcher-set assumption, not elicited. Report it in Chapter Three.</t>
        </r>
      </text>
    </comment>
  </commentList>
</comments>
</file>

<file path=xl/sharedStrings.xml><?xml version="1.0" encoding="utf-8"?>
<sst xmlns="http://schemas.openxmlformats.org/spreadsheetml/2006/main" count="276" uniqueCount="231">
  <si>
    <t>Incident Scenario Elicitation Workbook</t>
  </si>
  <si>
    <t>For the UCU Directorate of University ICT Services. Rule-constrained RL for IT incident triage (final-year project, Opol Charis).</t>
  </si>
  <si>
    <t>Purpose</t>
  </si>
  <si>
    <t>Collects what the simulator needs: causes and remedies, diagnostic checks, symptoms, context attributes, how likely each check and symptom is for each cause, and the operational rules.</t>
  </si>
  <si>
    <t>How to fill in</t>
  </si>
  <si>
    <t>Type or choose values only in YELLOW cells. Grey rows marked EXAMPLE are invented illustrations and are not counted. Blue cells are calculated; do not edit them.</t>
  </si>
  <si>
    <t>Order</t>
  </si>
  <si>
    <t>1 Causes, 2 Checks, 3 Symptoms, 4 Context, 5 Check likelihoods, 6 Symptom likelihoods, 7 Rules, 8 Costs (optional). The Progress sheet shows what is complete.</t>
  </si>
  <si>
    <t>Likelihood scale</t>
  </si>
  <si>
    <t>Ratings are converted to probabilities on the Scale sheet (Never 0.05 to Almost always 0.95). Leave a cell blank or choose 'Unrelated' if the check or symptom has nothing to do with the cause; it then takes the default on the Scale sheet.</t>
  </si>
  <si>
    <t>Scale of the model</t>
  </si>
  <si>
    <t>About 15 causes (more if they can be described well; rows are provided for up to 25) in four provisional categories (application and interface; authentication and access; database; infrastructure and external services; please correct them), 20 checks, 10 rules (agreed scope). The number of symptoms and context attributes is open; 15 symptom rows and 6 context rows are provided.</t>
  </si>
  <si>
    <t>Recording sources</t>
  </si>
  <si>
    <t>Use the Source column to note who gave each judgement and how (interview, questionnaire, ticket records). Roles can be used instead of names.</t>
  </si>
  <si>
    <t>Confidentiality</t>
  </si>
  <si>
    <t>The content of this workbook is subject to the NDA with the Directorate. Do not publish any of it before checking that the NDA allows it.</t>
  </si>
  <si>
    <t>Completed by / date</t>
  </si>
  <si>
    <t>Legend</t>
  </si>
  <si>
    <t>Input (fill in)</t>
  </si>
  <si>
    <t>Example only (invented)</t>
  </si>
  <si>
    <t>Calculated (do not edit)</t>
  </si>
  <si>
    <t>Header</t>
  </si>
  <si>
    <t>Progress</t>
  </si>
  <si>
    <t>Calculated from the other sheets. Example rows are not counted.</t>
  </si>
  <si>
    <t>Item</t>
  </si>
  <si>
    <t>Completed</t>
  </si>
  <si>
    <t>Target</t>
  </si>
  <si>
    <t>Remaining</t>
  </si>
  <si>
    <t>Causes named</t>
  </si>
  <si>
    <t>Causes with a category</t>
  </si>
  <si>
    <t>Causes with a remedy</t>
  </si>
  <si>
    <t>Causes with a frequency rating</t>
  </si>
  <si>
    <t>Checks named</t>
  </si>
  <si>
    <t>Checks with an effort rating</t>
  </si>
  <si>
    <t>Symptoms named</t>
  </si>
  <si>
    <t>open</t>
  </si>
  <si>
    <t>Context attributes named</t>
  </si>
  <si>
    <t>Check likelihood cells rated (blank = default)</t>
  </si>
  <si>
    <t>Symptom likelihood cells rated (blank = default)</t>
  </si>
  <si>
    <t>Rules written</t>
  </si>
  <si>
    <t>Causes per category</t>
  </si>
  <si>
    <t>Application and interface</t>
  </si>
  <si>
    <t>Authentication and access</t>
  </si>
  <si>
    <t>Database</t>
  </si>
  <si>
    <t>Infrastructure and external services</t>
  </si>
  <si>
    <t>Total</t>
  </si>
  <si>
    <t>Verbal ratings and the probabilities they map to. Researcher's proposal (see Chapter Three); report the mapping and the default with the model.</t>
  </si>
  <si>
    <t>Rating</t>
  </si>
  <si>
    <t>Probability</t>
  </si>
  <si>
    <t>Never</t>
  </si>
  <si>
    <t>Rarely</t>
  </si>
  <si>
    <t>Sometimes</t>
  </si>
  <si>
    <t>Often</t>
  </si>
  <si>
    <t>Almost always</t>
  </si>
  <si>
    <t>Unrelated</t>
  </si>
  <si>
    <t>Default for blank / Unrelated</t>
  </si>
  <si>
    <t>Frequency ratings (Causes sheet)</t>
  </si>
  <si>
    <t>Very rare</t>
  </si>
  <si>
    <t>Rare</t>
  </si>
  <si>
    <t>Occasional</t>
  </si>
  <si>
    <t>Common</t>
  </si>
  <si>
    <t>Very common</t>
  </si>
  <si>
    <t>Effort (Checks sheet)</t>
  </si>
  <si>
    <t>How often (Checks sheet)</t>
  </si>
  <si>
    <t>Low</t>
  </si>
  <si>
    <t>Medium</t>
  </si>
  <si>
    <t>High</t>
  </si>
  <si>
    <t>1. Causes and remedies (about 15; rows for up to 25)</t>
  </si>
  <si>
    <t>One row per cause. Each cause has exactly one remedy: the action that resolves an incident with that cause.</t>
  </si>
  <si>
    <t>Cause ID</t>
  </si>
  <si>
    <t>Category</t>
  </si>
  <si>
    <t>Cause</t>
  </si>
  <si>
    <t>Description</t>
  </si>
  <si>
    <t>Remedy (one action)</t>
  </si>
  <si>
    <t>How common</t>
  </si>
  <si>
    <t>Approx. incidents per month (optional)</t>
  </si>
  <si>
    <t>Source</t>
  </si>
  <si>
    <t>Notes</t>
  </si>
  <si>
    <t>Approval the remedy needs</t>
  </si>
  <si>
    <t>EXAMPLE</t>
  </si>
  <si>
    <t>Expired service token</t>
  </si>
  <si>
    <t>API calls to a dependent service fail with 401 errors</t>
  </si>
  <si>
    <t>Renew the service token</t>
  </si>
  <si>
    <t>Interview, senior developer</t>
  </si>
  <si>
    <t>Can be applied directly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</si>
  <si>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</si>
  <si>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</si>
  <si>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</si>
  <si>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</si>
  <si>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</si>
  <si>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</si>
  <si>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</si>
  <si>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</si>
  <si>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</si>
  <si>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</si>
  <si>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</si>
  <si>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</si>
  <si>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</si>
  <si>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</si>
  <si>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</si>
  <si>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</si>
  <si>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</si>
  <si>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</si>
  <si>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</si>
  <si>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</si>
  <si>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</si>
  <si>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</si>
  <si>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</si>
  <si>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</si>
  <si>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</si>
  <si>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2. Diagnostic checks (20)</t>
  </si>
  <si>
    <t>Checks a technician can run to tell causes apart. Each is reduced to a positive or negative result.</t>
  </si>
  <si>
    <t>Check ID</t>
  </si>
  <si>
    <t>Check</t>
  </si>
  <si>
    <t>What it tests</t>
  </si>
  <si>
    <t>A POSITIVE result means</t>
  </si>
  <si>
    <t>Effort</t>
  </si>
  <si>
    <t>Approx. minutes</t>
  </si>
  <si>
    <t>Can be automated?</t>
  </si>
  <si>
    <t>How often unavailable</t>
  </si>
  <si>
    <t>How often misleading</t>
  </si>
  <si>
    <t>Where the evidence comes from</t>
  </si>
  <si>
    <t>401 errors in API logs</t>
  </si>
  <si>
    <t>Whether calls to the dependent service are being rejected</t>
  </si>
  <si>
    <t>401 errors present in the last 15 minutes</t>
  </si>
  <si>
    <t>Yes</t>
  </si>
  <si>
    <t>Application or API logs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</si>
  <si>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</si>
  <si>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</si>
  <si>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</si>
  <si>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</si>
  <si>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</si>
  <si>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</si>
  <si>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</si>
  <si>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</si>
  <si>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</si>
  <si>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</si>
  <si>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</si>
  <si>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</si>
  <si>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</si>
  <si>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</si>
  <si>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</si>
  <si>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</si>
  <si>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</si>
  <si>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</si>
  <si>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</si>
  <si>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</si>
  <si>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3. Symptoms (fixed list)</t>
  </si>
  <si>
    <t>How incidents are first reported, as a fixed list of indicators (like ticket-form options), not free text. Leave unused rows blank.</t>
  </si>
  <si>
    <t>Symptom ID</t>
  </si>
  <si>
    <t>Symptom</t>
  </si>
  <si>
    <t>How it is usually reported</t>
  </si>
  <si>
    <t>Requests to a function return server errors (5xx)</t>
  </si>
  <si>
    <t>Error responses in the API logs; users report the page failing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</si>
  <si>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</si>
  <si>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</si>
  <si>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</si>
  <si>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</si>
  <si>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</si>
  <si>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</si>
  <si>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</si>
  <si>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</si>
  <si>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</si>
  <si>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</si>
  <si>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</si>
  <si>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</si>
  <si>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</si>
  <si>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</si>
  <si>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</si>
  <si>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4. Context attributes</t>
  </si>
  <si>
    <t>Facts about an incident that the rules refer to and the agent can see. Two are suggested; edit, remove or add.</t>
  </si>
  <si>
    <t>Attribute ID</t>
  </si>
  <si>
    <t>Attribute</t>
  </si>
  <si>
    <t>Possible values (comma-separated)</t>
  </si>
  <si>
    <t>Used by rule(s)</t>
  </si>
  <si>
    <t>Affected system is production</t>
  </si>
  <si>
    <t>Yes, No</t>
  </si>
  <si>
    <t>R01</t>
  </si>
  <si>
    <t>Interview</t>
  </si>
  <si>
    <t>X01</t>
  </si>
  <si>
    <t>X02</t>
  </si>
  <si>
    <t>Priority</t>
  </si>
  <si>
    <t>Levels to be confirmed by the Directorate</t>
  </si>
  <si>
    <t>X03</t>
  </si>
  <si>
    <t>X04</t>
  </si>
  <si>
    <t>X05</t>
  </si>
  <si>
    <t>X06</t>
  </si>
  <si>
    <t>5. How likely is each check to be POSITIVE when this cause is present?</t>
  </si>
  <si>
    <t>Choose a rating in each yellow cell. Start with checks related to the cause's category; leave unrelated pairs blank.</t>
  </si>
  <si>
    <t>Rows: causes (from Causes). Columns: checks (from Checks). Headers fill in automatically.</t>
  </si>
  <si>
    <t>6. How likely is each symptom to be PRESENT when this cause is present?</t>
  </si>
  <si>
    <t>Choose a rating in each yellow cell for the symptoms you listed; leave unrelated pairs blank.</t>
  </si>
  <si>
    <t>Rows: causes (from Causes). Columns: symptoms (from Symptoms). Headers fill in automatically.</t>
  </si>
  <si>
    <t>Check probabilities (calculated)</t>
  </si>
  <si>
    <t>Calculated from 'Check likelihoods' and the Scale sheet. This is what the simulator reads. Do not edit.</t>
  </si>
  <si>
    <t>Symptom probabilities (calculated)</t>
  </si>
  <si>
    <t>Calculated from 'Symptom likelihoods' and the Scale sheet. This is what the simulator reads. Do not edit.</t>
  </si>
  <si>
    <t>7. Operational rules (10)</t>
  </si>
  <si>
    <t>Each rule forbids an action under a condition, optionally until a named check has been observed. Escalation is never forbidden.</t>
  </si>
  <si>
    <t>Rule ID</t>
  </si>
  <si>
    <t>Forbidden action (remedy)</t>
  </si>
  <si>
    <t>When (context condition)</t>
  </si>
  <si>
    <t>Unless this check has been observed (optional)</t>
  </si>
  <si>
    <t>Rule as a sentence (calculated)</t>
  </si>
  <si>
    <t>Reason for the rule</t>
  </si>
  <si>
    <t>Restart database service</t>
  </si>
  <si>
    <t>D07 Replication status</t>
  </si>
  <si>
    <t>Do not: Restart database service when Affected system is production unless D07 Replication status has been observed</t>
  </si>
  <si>
    <t>Avoid data loss on live systems</t>
  </si>
  <si>
    <t>Change policy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</si>
  <si>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</si>
  <si>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</si>
  <si>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</si>
  <si>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</si>
  <si>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</si>
  <si>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</si>
  <si>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</si>
  <si>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</si>
  <si>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</si>
  <si>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8. Costs (optional)</t>
  </si>
  <si>
    <t>Guides the reward values (correct &gt; escalate &gt; wrong). Rough answers are fine; the researcher fixes the values in pilot runs.</t>
  </si>
  <si>
    <t>Answer</t>
  </si>
  <si>
    <t>Unit / format</t>
  </si>
  <si>
    <t>Technician time to handle an escalated incident</t>
  </si>
  <si>
    <t>minutes</t>
  </si>
  <si>
    <t>Typical consequence of applying the wrong remedy</t>
  </si>
  <si>
    <t>description</t>
  </si>
  <si>
    <t>How much worse a wrong remedy is than an escalation</t>
  </si>
  <si>
    <t>e.g. 2x, 5x, 10x</t>
  </si>
  <si>
    <t>Delay before an escalated incident is picked up</t>
  </si>
  <si>
    <t>Anything else that makes escalation or a wrong fix costly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</si>
</sst>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0"/>
      <name val="Arial"/>
    </font>
    <font>
      <b/>
      <sz val="11"/>
      <name val="Arial"/>
    </font>
    <font>
      <sz val="11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1"/>
      <color rgb="FFFFFFFF"/>
      <name val="Arial"/>
    </font>
    <font>
      <b/>
      <sz val="11"/>
      <color rgb="FFFFFFFF"/>
      <name val="Arial"/>
    </font>
    <font>
      <sz val="11"/>
      <color rgb="FF0000FF"/>
      <name val="Arial"/>
    </font>
    <font>
      <i/>
      <sz val="11"/>
      <color rgb="FF595959"/>
      <name val="Arial"/>
    </font>
    <font>
      <i/>
      <sz val="9"/>
      <name val="Arial"/>
    </font>
    <font>
      <sz val="8"/>
      <name val="Arial"/>
    </font>
    <font>
      <i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7E6E6"/>
      </patternFill>
    </fill>
    <fill>
      <patternFill patternType="solid">
        <fgColor rgb="FFDDEBF7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5" fillId="0" borderId="0" xfId="0" applyFont="1"/>
    <xf numFmtId="0" fontId="6" fillId="2" borderId="1" xfId="0" applyFont="1" applyFill="1" applyBorder="1"/>
    <xf numFmtId="0" fontId="6" fillId="3" borderId="1" xfId="0" applyFont="1" applyFill="1" applyBorder="1"/>
    <xf numFmtId="0" fontId="6" fillId="4" borderId="1" xfId="0" applyFont="1" applyFill="1" applyBorder="1"/>
    <xf numFmtId="0" fontId="7" fillId="5" borderId="1" xfId="0" applyFont="1" applyFill="1" applyBorder="1"/>
    <xf numFmtId="0" fontId="8" fillId="5" borderId="1" xfId="0" applyFont="1" applyFill="1" applyBorder="1" applyAlignment="1">
      <alignment vertical="center" wrapText="1"/>
    </xf>
    <xf numFmtId="0" fontId="4" fillId="0" borderId="1" xfId="0" applyFont="1" applyBorder="1"/>
    <xf numFmtId="0" fontId="4" fillId="4" borderId="1" xfId="0" applyFont="1" applyFill="1" applyBorder="1"/>
    <xf numFmtId="0" fontId="3" fillId="0" borderId="0" xfId="0" applyFont="1"/>
    <xf numFmtId="0" fontId="4" fillId="0" borderId="0" xfId="0" applyFont="1"/>
    <xf numFmtId="0" fontId="3" fillId="4" borderId="1" xfId="0" applyFont="1" applyFill="1" applyBorder="1"/>
    <xf numFmtId="2" fontId="9" fillId="0" borderId="0" xfId="0" applyNumberFormat="1" applyFont="1"/>
    <xf numFmtId="2" fontId="4" fillId="4" borderId="1" xfId="0" applyNumberFormat="1" applyFont="1" applyFill="1" applyBorder="1"/>
    <xf numFmtId="2" fontId="9" fillId="2" borderId="0" xfId="0" applyNumberFormat="1" applyFont="1" applyFill="1"/>
    <xf numFmtId="0" fontId="10" fillId="3" borderId="1" xfId="0" applyFont="1" applyFill="1" applyBorder="1" applyAlignment="1">
      <alignment vertical="top" wrapText="1"/>
    </xf>
    <xf numFmtId="0" fontId="3" fillId="0" borderId="1" xfId="0" applyFont="1" applyBorder="1"/>
    <xf numFmtId="0" fontId="11" fillId="0" borderId="0" xfId="0" applyFont="1"/>
    <xf numFmtId="0" fontId="8" fillId="5" borderId="1" xfId="0" applyFont="1" applyFill="1" applyBorder="1" applyAlignment="1">
      <alignment textRotation="90" wrapText="1"/>
    </xf>
    <xf numFmtId="0" fontId="12" fillId="2" borderId="1" xfId="0" applyFont="1" applyFill="1" applyBorder="1" applyAlignment="1">
      <alignment vertical="top" wrapText="1"/>
    </xf>
    <xf numFmtId="2" fontId="12" fillId="4" borderId="1" xfId="0" applyNumberFormat="1" applyFont="1" applyFill="1" applyBorder="1"/>
    <xf numFmtId="0" fontId="4" fillId="4" borderId="1" xfId="0" applyFont="1" applyFill="1" applyBorder="1" applyAlignment="1">
      <alignment vertical="top" wrapText="1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/>
  </sheetViews>
  <sheetFormatPr defaultRowHeight="14.25" x14ac:dyDescent="0.45"/>
  <cols>
    <col min="1" max="1" width="26" customWidth="1"/>
    <col min="2" max="2" width="110" customWidth="1"/>
  </cols>
  <sheetData>
    <row r="1" spans="1:2" ht="17.649999999999999" x14ac:dyDescent="0.5">
      <c r="A1" s="1" t="s">
        <v>0</v>
      </c>
    </row>
    <row r="2" spans="1:2" x14ac:dyDescent="0.45">
      <c r="A2" s="2" t="s">
        <v>1</v>
      </c>
    </row>
    <row r="4" spans="1:2" ht="27" x14ac:dyDescent="0.45">
      <c r="A4" s="3" t="s">
        <v>2</v>
      </c>
      <c r="B4" s="4" t="s">
        <v>3</v>
      </c>
    </row>
    <row r="5" spans="1:2" ht="27" x14ac:dyDescent="0.45">
      <c r="A5" s="3" t="s">
        <v>4</v>
      </c>
      <c r="B5" s="4" t="s">
        <v>5</v>
      </c>
    </row>
    <row r="6" spans="1:2" ht="27" x14ac:dyDescent="0.45">
      <c r="A6" s="3" t="s">
        <v>6</v>
      </c>
      <c r="B6" s="4" t="s">
        <v>7</v>
      </c>
    </row>
    <row r="7" spans="1:2" ht="27" x14ac:dyDescent="0.45">
      <c r="A7" s="3" t="s">
        <v>8</v>
      </c>
      <c r="B7" s="4" t="s">
        <v>9</v>
      </c>
    </row>
    <row r="8" spans="1:2" ht="40.5" x14ac:dyDescent="0.45">
      <c r="A8" s="3" t="s">
        <v>10</v>
      </c>
      <c r="B8" s="4" t="s">
        <v>11</v>
      </c>
    </row>
    <row r="9" spans="1:2" ht="27" x14ac:dyDescent="0.45">
      <c r="A9" s="3" t="s">
        <v>12</v>
      </c>
      <c r="B9" s="4" t="s">
        <v>13</v>
      </c>
    </row>
    <row r="10" spans="1:2" ht="27" x14ac:dyDescent="0.45">
      <c r="A10" s="3" t="s">
        <v>14</v>
      </c>
      <c r="B10" s="4" t="s">
        <v>15</v>
      </c>
    </row>
    <row r="11" spans="1:2" x14ac:dyDescent="0.45">
      <c r="A11" s="3" t="s">
        <v>16</v>
      </c>
      <c r="B11" s="5"/>
    </row>
    <row r="13" spans="1:2" x14ac:dyDescent="0.45">
      <c r="A13" s="6" t="s">
        <v>17</v>
      </c>
    </row>
    <row r="14" spans="1:2" x14ac:dyDescent="0.45">
      <c r="A14" s="7" t="s">
        <v>18</v>
      </c>
    </row>
    <row r="15" spans="1:2" x14ac:dyDescent="0.45">
      <c r="A15" s="8" t="s">
        <v>19</v>
      </c>
    </row>
    <row r="16" spans="1:2" x14ac:dyDescent="0.45">
      <c r="A16" s="9" t="s">
        <v>20</v>
      </c>
    </row>
    <row r="17" spans="1:1" x14ac:dyDescent="0.45">
      <c r="A17" s="10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50" customWidth="1"/>
    <col min="2" max="2" width="12" customWidth="1"/>
    <col min="3" max="3" width="10" customWidth="1"/>
    <col min="4" max="4" width="12" customWidth="1"/>
  </cols>
  <sheetData>
    <row r="1" spans="1:4" ht="17.649999999999999" x14ac:dyDescent="0.5">
      <c r="A1" s="1" t="s">
        <v>22</v>
      </c>
    </row>
    <row r="2" spans="1:4" x14ac:dyDescent="0.45">
      <c r="A2" s="2" t="s">
        <v>23</v>
      </c>
    </row>
    <row r="4" spans="1:4" ht="32" customHeight="1" x14ac:dyDescent="0.45">
      <c r="A4" s="11" t="s">
        <v>24</v>
      </c>
      <c r="B4" s="11" t="s">
        <v>25</v>
      </c>
      <c r="C4" s="11" t="s">
        <v>26</v>
      </c>
      <c r="D4" s="11" t="s">
        <v>27</v>
      </c>
    </row>
    <row r="5" spans="1:4" x14ac:dyDescent="0.45">
      <c r="A5" s="12" t="s">
        <v>28</v>
      </c>
      <c r="B5" s="13">
        <f>COUNTA(Causes!C6:C30)</f>
        <v>0</v>
      </c>
      <c r="C5" s="12">
        <v>15</v>
      </c>
      <c r="D5" s="13">
        <f t="shared" ref="D5:D15" si="0">IF(ISNUMBER(C5),MAX(C5-B5,0),"")</f>
        <v>15</v>
      </c>
    </row>
    <row r="6" spans="1:4" x14ac:dyDescent="0.45">
      <c r="A6" s="12" t="s">
        <v>29</v>
      </c>
      <c r="B6" s="13">
        <f>COUNTA(Causes!B6:B30)</f>
        <v>0</v>
      </c>
      <c r="C6" s="12">
        <v>15</v>
      </c>
      <c r="D6" s="13">
        <f t="shared" si="0"/>
        <v>15</v>
      </c>
    </row>
    <row r="7" spans="1:4" x14ac:dyDescent="0.45">
      <c r="A7" s="12" t="s">
        <v>30</v>
      </c>
      <c r="B7" s="13">
        <f>COUNTA(Causes!E6:E30)</f>
        <v>0</v>
      </c>
      <c r="C7" s="12">
        <v>15</v>
      </c>
      <c r="D7" s="13">
        <f t="shared" si="0"/>
        <v>15</v>
      </c>
    </row>
    <row r="8" spans="1:4" x14ac:dyDescent="0.45">
      <c r="A8" s="12" t="s">
        <v>31</v>
      </c>
      <c r="B8" s="13">
        <f>COUNTA(Causes!F6:F30)</f>
        <v>0</v>
      </c>
      <c r="C8" s="12">
        <v>15</v>
      </c>
      <c r="D8" s="13">
        <f t="shared" si="0"/>
        <v>15</v>
      </c>
    </row>
    <row r="9" spans="1:4" x14ac:dyDescent="0.45">
      <c r="A9" s="12" t="s">
        <v>32</v>
      </c>
      <c r="B9" s="13">
        <f>COUNTA(Checks!B6:B25)</f>
        <v>0</v>
      </c>
      <c r="C9" s="12">
        <v>20</v>
      </c>
      <c r="D9" s="13">
        <f t="shared" si="0"/>
        <v>20</v>
      </c>
    </row>
    <row r="10" spans="1:4" x14ac:dyDescent="0.45">
      <c r="A10" s="12" t="s">
        <v>33</v>
      </c>
      <c r="B10" s="13">
        <f>COUNTA(Checks!E6:E25)</f>
        <v>0</v>
      </c>
      <c r="C10" s="12">
        <v>20</v>
      </c>
      <c r="D10" s="13">
        <f t="shared" si="0"/>
        <v>20</v>
      </c>
    </row>
    <row r="11" spans="1:4" x14ac:dyDescent="0.45">
      <c r="A11" s="12" t="s">
        <v>34</v>
      </c>
      <c r="B11" s="13">
        <f>COUNTA(Symptoms!B6:B20)</f>
        <v>0</v>
      </c>
      <c r="C11" s="12" t="s">
        <v>35</v>
      </c>
      <c r="D11" s="13" t="str">
        <f t="shared" si="0"/>
        <v/>
      </c>
    </row>
    <row r="12" spans="1:4" x14ac:dyDescent="0.45">
      <c r="A12" s="12" t="s">
        <v>36</v>
      </c>
      <c r="B12" s="13">
        <f>COUNTA(Context!B6:B11)</f>
        <v>2</v>
      </c>
      <c r="C12" s="12" t="s">
        <v>35</v>
      </c>
      <c r="D12" s="13" t="str">
        <f t="shared" si="0"/>
        <v/>
      </c>
    </row>
    <row r="13" spans="1:4" x14ac:dyDescent="0.45">
      <c r="A13" s="12" t="s">
        <v>37</v>
      </c>
      <c r="B13" s="13">
        <f>COUNTA('Check likelihoods'!D6:W30)</f>
        <v>0</v>
      </c>
      <c r="C13" s="12">
        <f>MAX(15,B5)*20</f>
        <v>300</v>
      </c>
      <c r="D13" s="13">
        <f t="shared" si="0"/>
        <v>300</v>
      </c>
    </row>
    <row r="14" spans="1:4" x14ac:dyDescent="0.45">
      <c r="A14" s="12" t="s">
        <v>38</v>
      </c>
      <c r="B14" s="13">
        <f>COUNTA('Symptom likelihoods'!D6:R30)</f>
        <v>0</v>
      </c>
      <c r="C14" s="12">
        <f>B11*MAX(15,B5)</f>
        <v>0</v>
      </c>
      <c r="D14" s="13">
        <f t="shared" si="0"/>
        <v>0</v>
      </c>
    </row>
    <row r="15" spans="1:4" x14ac:dyDescent="0.45">
      <c r="A15" s="12" t="s">
        <v>39</v>
      </c>
      <c r="B15" s="13">
        <f>COUNTA(Rules!B6:B15)</f>
        <v>0</v>
      </c>
      <c r="C15" s="12">
        <v>10</v>
      </c>
      <c r="D15" s="13">
        <f t="shared" si="0"/>
        <v>10</v>
      </c>
    </row>
    <row r="17" spans="1:2" x14ac:dyDescent="0.45">
      <c r="A17" s="14" t="s">
        <v>40</v>
      </c>
    </row>
    <row r="18" spans="1:2" x14ac:dyDescent="0.45">
      <c r="A18" s="15" t="s">
        <v>41</v>
      </c>
      <c r="B18" s="13">
        <f>COUNTIF(Causes!$B$6:$B$30,A18)</f>
        <v>0</v>
      </c>
    </row>
    <row r="19" spans="1:2" x14ac:dyDescent="0.45">
      <c r="A19" s="15" t="s">
        <v>42</v>
      </c>
      <c r="B19" s="13">
        <f>COUNTIF(Causes!$B$6:$B$30,A19)</f>
        <v>0</v>
      </c>
    </row>
    <row r="20" spans="1:2" x14ac:dyDescent="0.45">
      <c r="A20" s="15" t="s">
        <v>43</v>
      </c>
      <c r="B20" s="13">
        <f>COUNTIF(Causes!$B$6:$B$30,A20)</f>
        <v>0</v>
      </c>
    </row>
    <row r="21" spans="1:2" x14ac:dyDescent="0.45">
      <c r="A21" s="15" t="s">
        <v>44</v>
      </c>
      <c r="B21" s="13">
        <f>COUNTIF(Causes!$B$6:$B$30,A21)</f>
        <v>0</v>
      </c>
    </row>
    <row r="22" spans="1:2" x14ac:dyDescent="0.45">
      <c r="A22" s="14" t="s">
        <v>45</v>
      </c>
      <c r="B22" s="16">
        <f>SUM(B18:B21)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/>
  </sheetViews>
  <sheetFormatPr defaultRowHeight="14.25" x14ac:dyDescent="0.45"/>
  <cols>
    <col min="1" max="1" width="30" customWidth="1"/>
    <col min="2" max="2" width="24" customWidth="1"/>
  </cols>
  <sheetData>
    <row r="1" spans="1:2" ht="17.649999999999999" x14ac:dyDescent="0.5">
      <c r="A1" s="1" t="s">
        <v>8</v>
      </c>
    </row>
    <row r="2" spans="1:2" x14ac:dyDescent="0.45">
      <c r="A2" s="2" t="s">
        <v>46</v>
      </c>
    </row>
    <row r="4" spans="1:2" ht="32" customHeight="1" x14ac:dyDescent="0.45">
      <c r="A4" s="11" t="s">
        <v>47</v>
      </c>
      <c r="B4" s="11" t="s">
        <v>48</v>
      </c>
    </row>
    <row r="5" spans="1:2" x14ac:dyDescent="0.45">
      <c r="A5" s="15" t="s">
        <v>49</v>
      </c>
      <c r="B5" s="17">
        <v>0.05</v>
      </c>
    </row>
    <row r="6" spans="1:2" x14ac:dyDescent="0.45">
      <c r="A6" s="15" t="s">
        <v>50</v>
      </c>
      <c r="B6" s="17">
        <v>0.25</v>
      </c>
    </row>
    <row r="7" spans="1:2" x14ac:dyDescent="0.45">
      <c r="A7" s="15" t="s">
        <v>51</v>
      </c>
      <c r="B7" s="17">
        <v>0.5</v>
      </c>
    </row>
    <row r="8" spans="1:2" x14ac:dyDescent="0.45">
      <c r="A8" s="15" t="s">
        <v>52</v>
      </c>
      <c r="B8" s="17">
        <v>0.75</v>
      </c>
    </row>
    <row r="9" spans="1:2" x14ac:dyDescent="0.45">
      <c r="A9" s="15" t="s">
        <v>53</v>
      </c>
      <c r="B9" s="17">
        <v>0.95</v>
      </c>
    </row>
    <row r="10" spans="1:2" x14ac:dyDescent="0.45">
      <c r="A10" s="15" t="s">
        <v>54</v>
      </c>
      <c r="B10" s="18">
        <f>B12</f>
        <v>0.05</v>
      </c>
    </row>
    <row r="12" spans="1:2" x14ac:dyDescent="0.45">
      <c r="A12" s="14" t="s">
        <v>55</v>
      </c>
      <c r="B12" s="19">
        <v>0.05</v>
      </c>
    </row>
    <row r="14" spans="1:2" x14ac:dyDescent="0.45">
      <c r="A14" s="14" t="s">
        <v>56</v>
      </c>
    </row>
    <row r="15" spans="1:2" x14ac:dyDescent="0.45">
      <c r="A15" s="15" t="s">
        <v>57</v>
      </c>
    </row>
    <row r="16" spans="1:2" x14ac:dyDescent="0.45">
      <c r="A16" s="15" t="s">
        <v>58</v>
      </c>
    </row>
    <row r="17" spans="1:2" x14ac:dyDescent="0.45">
      <c r="A17" s="15" t="s">
        <v>59</v>
      </c>
    </row>
    <row r="18" spans="1:2" x14ac:dyDescent="0.45">
      <c r="A18" s="15" t="s">
        <v>60</v>
      </c>
    </row>
    <row r="19" spans="1:2" x14ac:dyDescent="0.45">
      <c r="A19" s="15" t="s">
        <v>61</v>
      </c>
    </row>
    <row r="21" spans="1:2" x14ac:dyDescent="0.45">
      <c r="A21" s="14" t="s">
        <v>62</v>
      </c>
      <c r="B21" s="14" t="s">
        <v>63</v>
      </c>
    </row>
    <row r="22" spans="1:2" x14ac:dyDescent="0.45">
      <c r="A22" s="15" t="s">
        <v>64</v>
      </c>
      <c r="B22" s="15" t="s">
        <v>49</v>
      </c>
    </row>
    <row r="23" spans="1:2" x14ac:dyDescent="0.45">
      <c r="A23" s="15" t="s">
        <v>65</v>
      </c>
      <c r="B23" s="15" t="s">
        <v>50</v>
      </c>
    </row>
    <row r="24" spans="1:2" x14ac:dyDescent="0.45">
      <c r="A24" s="15" t="s">
        <v>66</v>
      </c>
      <c r="B24" s="15" t="s">
        <v>51</v>
      </c>
    </row>
    <row r="25" spans="1:2" x14ac:dyDescent="0.45">
      <c r="B25" s="15" t="s">
        <v>52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9" customWidth="1"/>
    <col min="2" max="2" width="22" customWidth="1"/>
    <col min="3" max="3" width="30" customWidth="1"/>
    <col min="4" max="4" width="40" customWidth="1"/>
    <col min="5" max="5" width="32" customWidth="1"/>
    <col min="6" max="6" width="14" customWidth="1"/>
    <col min="7" max="7" width="16" customWidth="1"/>
    <col min="8" max="8" width="22" customWidth="1"/>
    <col min="9" max="9" width="30" customWidth="1"/>
    <col min="10" max="10" width="24" customWidth="1"/>
  </cols>
  <sheetData>
    <row r="1" spans="1:10" ht="17.649999999999999" x14ac:dyDescent="0.5">
      <c r="A1" s="1" t="s">
        <v>67</v>
      </c>
    </row>
    <row r="2" spans="1:10" x14ac:dyDescent="0.45">
      <c r="A2" s="2" t="s">
        <v>68</v>
      </c>
    </row>
    <row r="4" spans="1:10" ht="32" customHeight="1" x14ac:dyDescent="0.45">
      <c r="A4" s="11" t="s">
        <v>69</v>
      </c>
      <c r="B4" s="11" t="s">
        <v>70</v>
      </c>
      <c r="C4" s="11" t="s">
        <v>71</v>
      </c>
      <c r="D4" s="11" t="s">
        <v>72</v>
      </c>
      <c r="E4" s="11" t="s">
        <v>73</v>
      </c>
      <c r="F4" s="11" t="s">
        <v>74</v>
      </c>
      <c r="G4" s="11" t="s">
        <v>75</v>
      </c>
      <c r="H4" s="11" t="s">
        <v>76</v>
      </c>
      <c r="I4" s="11" t="s">
        <v>77</v>
      </c>
      <c r="J4" s="11" t="s">
        <v>78</v>
      </c>
    </row>
    <row r="5" spans="1:10" ht="27.75" x14ac:dyDescent="0.45">
      <c r="A5" s="20" t="s">
        <v>79</v>
      </c>
      <c r="B5" s="20" t="s">
        <v>42</v>
      </c>
      <c r="C5" s="20" t="s">
        <v>80</v>
      </c>
      <c r="D5" s="20" t="s">
        <v>81</v>
      </c>
      <c r="E5" s="20" t="s">
        <v>82</v>
      </c>
      <c r="F5" s="20" t="s">
        <v>59</v>
      </c>
      <c r="G5" s="20">
        <v>2</v>
      </c>
      <c r="H5" s="20" t="s">
        <v>83</v>
      </c>
      <c r="I5" s="20"/>
      <c r="J5" s="20" t="s">
        <v>84</v>
      </c>
    </row>
    <row r="6" spans="1:10" x14ac:dyDescent="0.45">
      <c r="A6" s="21" t="s">
        <v>85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45">
      <c r="A7" s="21" t="s">
        <v>86</v>
      </c>
      <c r="B7" s="5"/>
      <c r="C7" s="5"/>
      <c r="D7" s="5"/>
      <c r="E7" s="5"/>
      <c r="F7" s="5"/>
      <c r="G7" s="5"/>
      <c r="H7" s="5"/>
      <c r="I7" s="5"/>
      <c r="J7" s="5"/>
    </row>
    <row r="8" spans="1:10" x14ac:dyDescent="0.45">
      <c r="A8" s="21" t="s">
        <v>87</v>
      </c>
      <c r="B8" s="5"/>
      <c r="C8" s="5"/>
      <c r="D8" s="5"/>
      <c r="E8" s="5"/>
      <c r="F8" s="5"/>
      <c r="G8" s="5"/>
      <c r="H8" s="5"/>
      <c r="I8" s="5"/>
      <c r="J8" s="5"/>
    </row>
    <row r="9" spans="1:10" x14ac:dyDescent="0.45">
      <c r="A9" s="21" t="s">
        <v>88</v>
      </c>
      <c r="B9" s="5"/>
      <c r="C9" s="5"/>
      <c r="D9" s="5"/>
      <c r="E9" s="5"/>
      <c r="F9" s="5"/>
      <c r="G9" s="5"/>
      <c r="H9" s="5"/>
      <c r="I9" s="5"/>
      <c r="J9" s="5"/>
    </row>
    <row r="10" spans="1:10" x14ac:dyDescent="0.45">
      <c r="A10" s="21" t="s">
        <v>89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45">
      <c r="A11" s="21" t="s">
        <v>90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45">
      <c r="A12" s="21" t="s">
        <v>91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45">
      <c r="A13" s="21" t="s">
        <v>92</v>
      </c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45">
      <c r="A14" s="21" t="s">
        <v>93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45">
      <c r="A15" s="21" t="s">
        <v>94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45">
      <c r="A16" s="21" t="s">
        <v>95</v>
      </c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45">
      <c r="A17" s="21" t="s">
        <v>96</v>
      </c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45">
      <c r="A18" s="21" t="s">
        <v>97</v>
      </c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45">
      <c r="A19" s="21" t="s">
        <v>98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45">
      <c r="A20" s="21" t="s">
        <v>99</v>
      </c>
      <c r="B20" s="5"/>
      <c r="C20" s="5"/>
      <c r="D20" s="5"/>
      <c r="E20" s="5"/>
      <c r="F20" s="5"/>
      <c r="G20" s="5"/>
      <c r="H20" s="5"/>
      <c r="I20" s="5"/>
      <c r="J20" s="5"/>
    </row>
    <row r="21" spans="1:10" x14ac:dyDescent="0.45">
      <c r="A21" s="21" t="s">
        <v>100</v>
      </c>
      <c r="B21" s="5"/>
      <c r="C21" s="5"/>
      <c r="D21" s="5"/>
      <c r="E21" s="5"/>
      <c r="F21" s="5"/>
      <c r="G21" s="5"/>
      <c r="H21" s="5"/>
      <c r="I21" s="5"/>
      <c r="J21" s="5"/>
    </row>
    <row r="22" spans="1:10" x14ac:dyDescent="0.45">
      <c r="A22" s="21" t="s">
        <v>101</v>
      </c>
      <c r="B22" s="5"/>
      <c r="C22" s="5"/>
      <c r="D22" s="5"/>
      <c r="E22" s="5"/>
      <c r="F22" s="5"/>
      <c r="G22" s="5"/>
      <c r="H22" s="5"/>
      <c r="I22" s="5"/>
      <c r="J22" s="5"/>
    </row>
    <row r="23" spans="1:10" x14ac:dyDescent="0.45">
      <c r="A23" s="21" t="s">
        <v>102</v>
      </c>
      <c r="B23" s="5"/>
      <c r="C23" s="5"/>
      <c r="D23" s="5"/>
      <c r="E23" s="5"/>
      <c r="F23" s="5"/>
      <c r="G23" s="5"/>
      <c r="H23" s="5"/>
      <c r="I23" s="5"/>
      <c r="J23" s="5"/>
    </row>
    <row r="24" spans="1:10" x14ac:dyDescent="0.45">
      <c r="A24" s="21" t="s">
        <v>103</v>
      </c>
      <c r="B24" s="5"/>
      <c r="C24" s="5"/>
      <c r="D24" s="5"/>
      <c r="E24" s="5"/>
      <c r="F24" s="5"/>
      <c r="G24" s="5"/>
      <c r="H24" s="5"/>
      <c r="I24" s="5"/>
      <c r="J24" s="5"/>
    </row>
    <row r="25" spans="1:10" x14ac:dyDescent="0.45">
      <c r="A25" s="21" t="s">
        <v>104</v>
      </c>
      <c r="B25" s="5"/>
      <c r="C25" s="5"/>
      <c r="D25" s="5"/>
      <c r="E25" s="5"/>
      <c r="F25" s="5"/>
      <c r="G25" s="5"/>
      <c r="H25" s="5"/>
      <c r="I25" s="5"/>
      <c r="J25" s="5"/>
    </row>
    <row r="26" spans="1:10" x14ac:dyDescent="0.45">
      <c r="A26" s="21" t="s">
        <v>105</v>
      </c>
      <c r="B26" s="5"/>
      <c r="C26" s="5"/>
      <c r="D26" s="5"/>
      <c r="E26" s="5"/>
      <c r="F26" s="5"/>
      <c r="G26" s="5"/>
      <c r="H26" s="5"/>
      <c r="I26" s="5"/>
      <c r="J26" s="5"/>
    </row>
    <row r="27" spans="1:10" x14ac:dyDescent="0.45">
      <c r="A27" s="21" t="s">
        <v>106</v>
      </c>
      <c r="B27" s="5"/>
      <c r="C27" s="5"/>
      <c r="D27" s="5"/>
      <c r="E27" s="5"/>
      <c r="F27" s="5"/>
      <c r="G27" s="5"/>
      <c r="H27" s="5"/>
      <c r="I27" s="5"/>
      <c r="J27" s="5"/>
    </row>
    <row r="28" spans="1:10" x14ac:dyDescent="0.45">
      <c r="A28" s="21" t="s">
        <v>107</v>
      </c>
      <c r="B28" s="5"/>
      <c r="C28" s="5"/>
      <c r="D28" s="5"/>
      <c r="E28" s="5"/>
      <c r="F28" s="5"/>
      <c r="G28" s="5"/>
      <c r="H28" s="5"/>
      <c r="I28" s="5"/>
      <c r="J28" s="5"/>
    </row>
    <row r="29" spans="1:10" x14ac:dyDescent="0.45">
      <c r="A29" s="21" t="s">
        <v>108</v>
      </c>
      <c r="B29" s="5"/>
      <c r="C29" s="5"/>
      <c r="D29" s="5"/>
      <c r="E29" s="5"/>
      <c r="F29" s="5"/>
      <c r="G29" s="5"/>
      <c r="H29" s="5"/>
      <c r="I29" s="5"/>
      <c r="J29" s="5"/>
    </row>
    <row r="30" spans="1:10" x14ac:dyDescent="0.45">
      <c r="A30" s="21" t="s">
        <v>109</v>
      </c>
      <c r="B30" s="5"/>
      <c r="C30" s="5"/>
      <c r="D30" s="5"/>
      <c r="E30" s="5"/>
      <c r="F30" s="5"/>
      <c r="G30" s="5"/>
      <c r="H30" s="5"/>
      <c r="I30" s="5"/>
      <c r="J30" s="5"/>
    </row>
  </sheetData>
  <autoFilter ref="A4:J30" xr:uid="{00000000-0009-0000-0000-000003000000}"/>
  <dataValidations count="2">
    <dataValidation type="list" allowBlank="1" sqref="J6:J30" xr:uid="{00000000-0002-0000-0300-000000000000}">
      <formula1>"Can be applied directly,Needs review (e.g. pull request),Needs senior developer approval"</formula1>
    </dataValidation>
    <dataValidation type="list" allowBlank="1" sqref="B6:B30" xr:uid="{00000000-0002-0000-0300-000001000000}">
      <formula1>"Application and interface,Authentication and access,Database,Infrastructure and external services"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2000000}">
          <x14:formula1>
            <xm:f>Scale!$A$15:$A$19</xm:f>
          </x14:formula1>
          <xm:sqref>F6:F30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5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9" customWidth="1"/>
    <col min="2" max="2" width="28" customWidth="1"/>
    <col min="3" max="3" width="34" customWidth="1"/>
    <col min="4" max="4" width="30" customWidth="1"/>
    <col min="5" max="6" width="10" customWidth="1"/>
    <col min="7" max="7" width="11" customWidth="1"/>
    <col min="8" max="9" width="13" customWidth="1"/>
    <col min="10" max="10" width="22" customWidth="1"/>
    <col min="11" max="11" width="28" customWidth="1"/>
    <col min="12" max="12" width="26" customWidth="1"/>
  </cols>
  <sheetData>
    <row r="1" spans="1:12" ht="17.649999999999999" x14ac:dyDescent="0.5">
      <c r="A1" s="1" t="s">
        <v>110</v>
      </c>
    </row>
    <row r="2" spans="1:12" x14ac:dyDescent="0.45">
      <c r="A2" s="2" t="s">
        <v>111</v>
      </c>
    </row>
    <row r="4" spans="1:12" ht="32" customHeight="1" x14ac:dyDescent="0.45">
      <c r="A4" s="11" t="s">
        <v>112</v>
      </c>
      <c r="B4" s="11" t="s">
        <v>113</v>
      </c>
      <c r="C4" s="11" t="s">
        <v>114</v>
      </c>
      <c r="D4" s="11" t="s">
        <v>115</v>
      </c>
      <c r="E4" s="11" t="s">
        <v>116</v>
      </c>
      <c r="F4" s="11" t="s">
        <v>117</v>
      </c>
      <c r="G4" s="11" t="s">
        <v>118</v>
      </c>
      <c r="H4" s="11" t="s">
        <v>119</v>
      </c>
      <c r="I4" s="11" t="s">
        <v>120</v>
      </c>
      <c r="J4" s="11" t="s">
        <v>76</v>
      </c>
      <c r="K4" s="11" t="s">
        <v>77</v>
      </c>
      <c r="L4" s="11" t="s">
        <v>121</v>
      </c>
    </row>
    <row r="5" spans="1:12" ht="27.75" x14ac:dyDescent="0.45">
      <c r="A5" s="20" t="s">
        <v>79</v>
      </c>
      <c r="B5" s="20" t="s">
        <v>122</v>
      </c>
      <c r="C5" s="20" t="s">
        <v>123</v>
      </c>
      <c r="D5" s="20" t="s">
        <v>124</v>
      </c>
      <c r="E5" s="20" t="s">
        <v>64</v>
      </c>
      <c r="F5" s="20">
        <v>2</v>
      </c>
      <c r="G5" s="20" t="s">
        <v>125</v>
      </c>
      <c r="H5" s="20" t="s">
        <v>50</v>
      </c>
      <c r="I5" s="20" t="s">
        <v>50</v>
      </c>
      <c r="J5" s="20" t="s">
        <v>83</v>
      </c>
      <c r="K5" s="20"/>
      <c r="L5" s="20" t="s">
        <v>126</v>
      </c>
    </row>
    <row r="6" spans="1:12" x14ac:dyDescent="0.45">
      <c r="A6" s="21" t="s">
        <v>127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  <row r="7" spans="1:12" x14ac:dyDescent="0.45">
      <c r="A7" s="21" t="s">
        <v>128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 x14ac:dyDescent="0.45">
      <c r="A8" s="21" t="s">
        <v>129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x14ac:dyDescent="0.45">
      <c r="A9" s="21" t="s">
        <v>130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x14ac:dyDescent="0.45">
      <c r="A10" s="21" t="s">
        <v>131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x14ac:dyDescent="0.45">
      <c r="A11" s="21" t="s">
        <v>132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</row>
    <row r="12" spans="1:12" x14ac:dyDescent="0.45">
      <c r="A12" s="21" t="s">
        <v>133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x14ac:dyDescent="0.45">
      <c r="A13" s="21" t="s">
        <v>134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x14ac:dyDescent="0.45">
      <c r="A14" s="21" t="s">
        <v>135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x14ac:dyDescent="0.45">
      <c r="A15" s="21" t="s">
        <v>136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x14ac:dyDescent="0.45">
      <c r="A16" s="21" t="s">
        <v>137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x14ac:dyDescent="0.45">
      <c r="A17" s="21" t="s">
        <v>138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x14ac:dyDescent="0.45">
      <c r="A18" s="21" t="s">
        <v>139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x14ac:dyDescent="0.45">
      <c r="A19" s="21" t="s">
        <v>140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x14ac:dyDescent="0.45">
      <c r="A20" s="21" t="s">
        <v>141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x14ac:dyDescent="0.45">
      <c r="A21" s="21" t="s">
        <v>142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x14ac:dyDescent="0.45">
      <c r="A22" s="21" t="s">
        <v>143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45">
      <c r="A23" s="21" t="s">
        <v>144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x14ac:dyDescent="0.45">
      <c r="A24" s="21" t="s">
        <v>145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45">
      <c r="A25" s="21" t="s">
        <v>146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</sheetData>
  <autoFilter ref="A4:L25" xr:uid="{00000000-0009-0000-0000-000004000000}"/>
  <dataValidations count="2">
    <dataValidation type="list" allowBlank="1" sqref="L6:L25" xr:uid="{00000000-0002-0000-0400-000000000000}">
      <formula1>"Application or API logs,Monitoring dashboard (e.g. Grafana),Reproducing the request,Ticket or user report,Database or server query,Other"</formula1>
    </dataValidation>
    <dataValidation type="list" allowBlank="1" sqref="G6:G25" xr:uid="{00000000-0002-0000-0400-000002000000}">
      <formula1>"Yes,No"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1000000}">
          <x14:formula1>
            <xm:f>Scale!$A$22:$A$24</xm:f>
          </x14:formula1>
          <xm:sqref>E6:E25</xm:sqref>
        </x14:dataValidation>
        <x14:dataValidation type="list" allowBlank="1" xr:uid="{00000000-0002-0000-0400-000003000000}">
          <x14:formula1>
            <xm:f>Scale!$B$22:$B$25</xm:f>
          </x14:formula1>
          <xm:sqref>H6:I25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32" customWidth="1"/>
    <col min="3" max="3" width="44" customWidth="1"/>
    <col min="4" max="4" width="22" customWidth="1"/>
    <col min="5" max="5" width="30" customWidth="1"/>
  </cols>
  <sheetData>
    <row r="1" spans="1:5" ht="17.649999999999999" x14ac:dyDescent="0.5">
      <c r="A1" s="1" t="s">
        <v>147</v>
      </c>
    </row>
    <row r="2" spans="1:5" x14ac:dyDescent="0.45">
      <c r="A2" s="2" t="s">
        <v>148</v>
      </c>
    </row>
    <row r="4" spans="1:5" ht="32" customHeight="1" x14ac:dyDescent="0.45">
      <c r="A4" s="11" t="s">
        <v>149</v>
      </c>
      <c r="B4" s="11" t="s">
        <v>150</v>
      </c>
      <c r="C4" s="11" t="s">
        <v>151</v>
      </c>
      <c r="D4" s="11" t="s">
        <v>76</v>
      </c>
      <c r="E4" s="11" t="s">
        <v>77</v>
      </c>
    </row>
    <row r="5" spans="1:5" ht="27.75" x14ac:dyDescent="0.45">
      <c r="A5" s="20" t="s">
        <v>79</v>
      </c>
      <c r="B5" s="20" t="s">
        <v>152</v>
      </c>
      <c r="C5" s="20" t="s">
        <v>153</v>
      </c>
      <c r="D5" s="20" t="s">
        <v>83</v>
      </c>
      <c r="E5" s="20"/>
    </row>
    <row r="6" spans="1:5" x14ac:dyDescent="0.45">
      <c r="A6" s="21" t="s">
        <v>154</v>
      </c>
      <c r="B6" s="5"/>
      <c r="C6" s="5"/>
      <c r="D6" s="5"/>
      <c r="E6" s="5"/>
    </row>
    <row r="7" spans="1:5" x14ac:dyDescent="0.45">
      <c r="A7" s="21" t="s">
        <v>155</v>
      </c>
      <c r="B7" s="5"/>
      <c r="C7" s="5"/>
      <c r="D7" s="5"/>
      <c r="E7" s="5"/>
    </row>
    <row r="8" spans="1:5" x14ac:dyDescent="0.45">
      <c r="A8" s="21" t="s">
        <v>156</v>
      </c>
      <c r="B8" s="5"/>
      <c r="C8" s="5"/>
      <c r="D8" s="5"/>
      <c r="E8" s="5"/>
    </row>
    <row r="9" spans="1:5" x14ac:dyDescent="0.45">
      <c r="A9" s="21" t="s">
        <v>157</v>
      </c>
      <c r="B9" s="5"/>
      <c r="C9" s="5"/>
      <c r="D9" s="5"/>
      <c r="E9" s="5"/>
    </row>
    <row r="10" spans="1:5" x14ac:dyDescent="0.45">
      <c r="A10" s="21" t="s">
        <v>158</v>
      </c>
      <c r="B10" s="5"/>
      <c r="C10" s="5"/>
      <c r="D10" s="5"/>
      <c r="E10" s="5"/>
    </row>
    <row r="11" spans="1:5" x14ac:dyDescent="0.45">
      <c r="A11" s="21" t="s">
        <v>159</v>
      </c>
      <c r="B11" s="5"/>
      <c r="C11" s="5"/>
      <c r="D11" s="5"/>
      <c r="E11" s="5"/>
    </row>
    <row r="12" spans="1:5" x14ac:dyDescent="0.45">
      <c r="A12" s="21" t="s">
        <v>160</v>
      </c>
      <c r="B12" s="5"/>
      <c r="C12" s="5"/>
      <c r="D12" s="5"/>
      <c r="E12" s="5"/>
    </row>
    <row r="13" spans="1:5" x14ac:dyDescent="0.45">
      <c r="A13" s="21" t="s">
        <v>161</v>
      </c>
      <c r="B13" s="5"/>
      <c r="C13" s="5"/>
      <c r="D13" s="5"/>
      <c r="E13" s="5"/>
    </row>
    <row r="14" spans="1:5" x14ac:dyDescent="0.45">
      <c r="A14" s="21" t="s">
        <v>162</v>
      </c>
      <c r="B14" s="5"/>
      <c r="C14" s="5"/>
      <c r="D14" s="5"/>
      <c r="E14" s="5"/>
    </row>
    <row r="15" spans="1:5" x14ac:dyDescent="0.45">
      <c r="A15" s="21" t="s">
        <v>163</v>
      </c>
      <c r="B15" s="5"/>
      <c r="C15" s="5"/>
      <c r="D15" s="5"/>
      <c r="E15" s="5"/>
    </row>
    <row r="16" spans="1:5" x14ac:dyDescent="0.45">
      <c r="A16" s="21" t="s">
        <v>164</v>
      </c>
      <c r="B16" s="5"/>
      <c r="C16" s="5"/>
      <c r="D16" s="5"/>
      <c r="E16" s="5"/>
    </row>
    <row r="17" spans="1:5" x14ac:dyDescent="0.45">
      <c r="A17" s="21" t="s">
        <v>165</v>
      </c>
      <c r="B17" s="5"/>
      <c r="C17" s="5"/>
      <c r="D17" s="5"/>
      <c r="E17" s="5"/>
    </row>
    <row r="18" spans="1:5" x14ac:dyDescent="0.45">
      <c r="A18" s="21" t="s">
        <v>166</v>
      </c>
      <c r="B18" s="5"/>
      <c r="C18" s="5"/>
      <c r="D18" s="5"/>
      <c r="E18" s="5"/>
    </row>
    <row r="19" spans="1:5" x14ac:dyDescent="0.45">
      <c r="A19" s="21" t="s">
        <v>167</v>
      </c>
      <c r="B19" s="5"/>
      <c r="C19" s="5"/>
      <c r="D19" s="5"/>
      <c r="E19" s="5"/>
    </row>
    <row r="20" spans="1:5" x14ac:dyDescent="0.45">
      <c r="A20" s="21" t="s">
        <v>168</v>
      </c>
      <c r="B20" s="5"/>
      <c r="C20" s="5"/>
      <c r="D20" s="5"/>
      <c r="E20" s="5"/>
    </row>
  </sheetData>
  <autoFilter ref="A4:E2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30" customWidth="1"/>
    <col min="3" max="3" width="36" customWidth="1"/>
    <col min="4" max="4" width="16" customWidth="1"/>
    <col min="5" max="5" width="22" customWidth="1"/>
    <col min="6" max="6" width="30" customWidth="1"/>
  </cols>
  <sheetData>
    <row r="1" spans="1:6" ht="17.649999999999999" x14ac:dyDescent="0.5">
      <c r="A1" s="1" t="s">
        <v>169</v>
      </c>
    </row>
    <row r="2" spans="1:6" x14ac:dyDescent="0.45">
      <c r="A2" s="2" t="s">
        <v>170</v>
      </c>
    </row>
    <row r="4" spans="1:6" ht="32" customHeight="1" x14ac:dyDescent="0.45">
      <c r="A4" s="11" t="s">
        <v>171</v>
      </c>
      <c r="B4" s="11" t="s">
        <v>172</v>
      </c>
      <c r="C4" s="11" t="s">
        <v>173</v>
      </c>
      <c r="D4" s="11" t="s">
        <v>174</v>
      </c>
      <c r="E4" s="11" t="s">
        <v>76</v>
      </c>
      <c r="F4" s="11" t="s">
        <v>77</v>
      </c>
    </row>
    <row r="5" spans="1:6" x14ac:dyDescent="0.45">
      <c r="A5" s="20" t="s">
        <v>79</v>
      </c>
      <c r="B5" s="20" t="s">
        <v>175</v>
      </c>
      <c r="C5" s="20" t="s">
        <v>176</v>
      </c>
      <c r="D5" s="20" t="s">
        <v>177</v>
      </c>
      <c r="E5" s="20" t="s">
        <v>178</v>
      </c>
      <c r="F5" s="20"/>
    </row>
    <row r="6" spans="1:6" x14ac:dyDescent="0.45">
      <c r="A6" s="21" t="s">
        <v>179</v>
      </c>
      <c r="B6" s="5" t="s">
        <v>175</v>
      </c>
      <c r="C6" s="5"/>
      <c r="D6" s="5"/>
      <c r="E6" s="5"/>
      <c r="F6" s="5"/>
    </row>
    <row r="7" spans="1:6" ht="27" x14ac:dyDescent="0.45">
      <c r="A7" s="21" t="s">
        <v>180</v>
      </c>
      <c r="B7" s="5" t="s">
        <v>181</v>
      </c>
      <c r="C7" s="5"/>
      <c r="D7" s="5"/>
      <c r="E7" s="5"/>
      <c r="F7" s="5" t="s">
        <v>182</v>
      </c>
    </row>
    <row r="8" spans="1:6" x14ac:dyDescent="0.45">
      <c r="A8" s="21" t="s">
        <v>183</v>
      </c>
      <c r="B8" s="5"/>
      <c r="C8" s="5"/>
      <c r="D8" s="5"/>
      <c r="E8" s="5"/>
      <c r="F8" s="5"/>
    </row>
    <row r="9" spans="1:6" x14ac:dyDescent="0.45">
      <c r="A9" s="21" t="s">
        <v>184</v>
      </c>
      <c r="B9" s="5"/>
      <c r="C9" s="5"/>
      <c r="D9" s="5"/>
      <c r="E9" s="5"/>
      <c r="F9" s="5"/>
    </row>
    <row r="10" spans="1:6" x14ac:dyDescent="0.45">
      <c r="A10" s="21" t="s">
        <v>185</v>
      </c>
      <c r="B10" s="5"/>
      <c r="C10" s="5"/>
      <c r="D10" s="5"/>
      <c r="E10" s="5"/>
      <c r="F10" s="5"/>
    </row>
    <row r="11" spans="1:6" x14ac:dyDescent="0.45">
      <c r="A11" s="21" t="s">
        <v>186</v>
      </c>
      <c r="B11" s="5"/>
      <c r="C11" s="5"/>
      <c r="D11" s="5"/>
      <c r="E11" s="5"/>
      <c r="F11" s="5"/>
    </row>
  </sheetData>
  <autoFilter ref="A4:F1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30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9" customWidth="1"/>
    <col min="2" max="2" width="15" customWidth="1"/>
    <col min="3" max="3" width="28" customWidth="1"/>
    <col min="4" max="23" width="7" customWidth="1"/>
  </cols>
  <sheetData>
    <row r="1" spans="1:23" ht="17.649999999999999" x14ac:dyDescent="0.5">
      <c r="A1" s="1" t="s">
        <v>187</v>
      </c>
    </row>
    <row r="2" spans="1:23" x14ac:dyDescent="0.45">
      <c r="A2" s="2" t="s">
        <v>188</v>
      </c>
    </row>
    <row r="3" spans="1:23" x14ac:dyDescent="0.45">
      <c r="D3" s="22" t="s">
        <v>189</v>
      </c>
    </row>
    <row r="4" spans="1:23" ht="150" customHeight="1" x14ac:dyDescent="0.45">
      <c r="A4" s="11" t="s">
        <v>69</v>
      </c>
      <c r="B4" s="11" t="s">
        <v>70</v>
      </c>
      <c r="C4" s="11" t="s">
        <v>71</v>
      </c>
      <c r="D4" s="23" t="str">
        <f>Checks!A6&amp;IF(Checks!B6="",""," "&amp;Checks!B6)</f>
        <v>D01</v>
      </c>
      <c r="E4" s="23" t="str">
        <f>Checks!A7&amp;IF(Checks!B7="",""," "&amp;Checks!B7)</f>
        <v>D02</v>
      </c>
      <c r="F4" s="23" t="str">
        <f>Checks!A8&amp;IF(Checks!B8="",""," "&amp;Checks!B8)</f>
        <v>D03</v>
      </c>
      <c r="G4" s="23" t="str">
        <f>Checks!A9&amp;IF(Checks!B9="",""," "&amp;Checks!B9)</f>
        <v>D04</v>
      </c>
      <c r="H4" s="23" t="str">
        <f>Checks!A10&amp;IF(Checks!B10="",""," "&amp;Checks!B10)</f>
        <v>D05</v>
      </c>
      <c r="I4" s="23" t="str">
        <f>Checks!A11&amp;IF(Checks!B11="",""," "&amp;Checks!B11)</f>
        <v>D06</v>
      </c>
      <c r="J4" s="23" t="str">
        <f>Checks!A12&amp;IF(Checks!B12="",""," "&amp;Checks!B12)</f>
        <v>D07</v>
      </c>
      <c r="K4" s="23" t="str">
        <f>Checks!A13&amp;IF(Checks!B13="",""," "&amp;Checks!B13)</f>
        <v>D08</v>
      </c>
      <c r="L4" s="23" t="str">
        <f>Checks!A14&amp;IF(Checks!B14="",""," "&amp;Checks!B14)</f>
        <v>D09</v>
      </c>
      <c r="M4" s="23" t="str">
        <f>Checks!A15&amp;IF(Checks!B15="",""," "&amp;Checks!B15)</f>
        <v>D10</v>
      </c>
      <c r="N4" s="23" t="str">
        <f>Checks!A16&amp;IF(Checks!B16="",""," "&amp;Checks!B16)</f>
        <v>D11</v>
      </c>
      <c r="O4" s="23" t="str">
        <f>Checks!A17&amp;IF(Checks!B17="",""," "&amp;Checks!B17)</f>
        <v>D12</v>
      </c>
      <c r="P4" s="23" t="str">
        <f>Checks!A18&amp;IF(Checks!B18="",""," "&amp;Checks!B18)</f>
        <v>D13</v>
      </c>
      <c r="Q4" s="23" t="str">
        <f>Checks!A19&amp;IF(Checks!B19="",""," "&amp;Checks!B19)</f>
        <v>D14</v>
      </c>
      <c r="R4" s="23" t="str">
        <f>Checks!A20&amp;IF(Checks!B20="",""," "&amp;Checks!B20)</f>
        <v>D15</v>
      </c>
      <c r="S4" s="23" t="str">
        <f>Checks!A21&amp;IF(Checks!B21="",""," "&amp;Checks!B21)</f>
        <v>D16</v>
      </c>
      <c r="T4" s="23" t="str">
        <f>Checks!A22&amp;IF(Checks!B22="",""," "&amp;Checks!B22)</f>
        <v>D17</v>
      </c>
      <c r="U4" s="23" t="str">
        <f>Checks!A23&amp;IF(Checks!B23="",""," "&amp;Checks!B23)</f>
        <v>D18</v>
      </c>
      <c r="V4" s="23" t="str">
        <f>Checks!A24&amp;IF(Checks!B24="",""," "&amp;Checks!B24)</f>
        <v>D19</v>
      </c>
      <c r="W4" s="23" t="str">
        <f>Checks!A25&amp;IF(Checks!B25="",""," "&amp;Checks!B25)</f>
        <v>D20</v>
      </c>
    </row>
    <row r="6" spans="1:23" x14ac:dyDescent="0.45">
      <c r="A6" s="16" t="str">
        <f>Causes!A6</f>
        <v>C01</v>
      </c>
      <c r="B6" s="13" t="str">
        <f>IF(Causes!B6="","",Causes!B6)</f>
        <v/>
      </c>
      <c r="C6" s="13" t="str">
        <f>IF(Causes!C6="","",Causes!C6)</f>
        <v/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3" x14ac:dyDescent="0.45">
      <c r="A7" s="16" t="str">
        <f>Causes!A7</f>
        <v>C02</v>
      </c>
      <c r="B7" s="13" t="str">
        <f>IF(Causes!B7="","",Causes!B7)</f>
        <v/>
      </c>
      <c r="C7" s="13" t="str">
        <f>IF(Causes!C7="","",Causes!C7)</f>
        <v/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spans="1:23" x14ac:dyDescent="0.45">
      <c r="A8" s="16" t="str">
        <f>Causes!A8</f>
        <v>C03</v>
      </c>
      <c r="B8" s="13" t="str">
        <f>IF(Causes!B8="","",Causes!B8)</f>
        <v/>
      </c>
      <c r="C8" s="13" t="str">
        <f>IF(Causes!C8="","",Causes!C8)</f>
        <v/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</row>
    <row r="9" spans="1:23" x14ac:dyDescent="0.45">
      <c r="A9" s="16" t="str">
        <f>Causes!A9</f>
        <v>C04</v>
      </c>
      <c r="B9" s="13" t="str">
        <f>IF(Causes!B9="","",Causes!B9)</f>
        <v/>
      </c>
      <c r="C9" s="13" t="str">
        <f>IF(Causes!C9="","",Causes!C9)</f>
        <v/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</row>
    <row r="10" spans="1:23" x14ac:dyDescent="0.45">
      <c r="A10" s="16" t="str">
        <f>Causes!A10</f>
        <v>C05</v>
      </c>
      <c r="B10" s="13" t="str">
        <f>IF(Causes!B10="","",Causes!B10)</f>
        <v/>
      </c>
      <c r="C10" s="13" t="str">
        <f>IF(Causes!C10="","",Causes!C10)</f>
        <v/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</row>
    <row r="11" spans="1:23" x14ac:dyDescent="0.45">
      <c r="A11" s="16" t="str">
        <f>Causes!A11</f>
        <v>C06</v>
      </c>
      <c r="B11" s="13" t="str">
        <f>IF(Causes!B11="","",Causes!B11)</f>
        <v/>
      </c>
      <c r="C11" s="13" t="str">
        <f>IF(Causes!C11="","",Causes!C11)</f>
        <v/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3" x14ac:dyDescent="0.45">
      <c r="A12" s="16" t="str">
        <f>Causes!A12</f>
        <v>C07</v>
      </c>
      <c r="B12" s="13" t="str">
        <f>IF(Causes!B12="","",Causes!B12)</f>
        <v/>
      </c>
      <c r="C12" s="13" t="str">
        <f>IF(Causes!C12="","",Causes!C12)</f>
        <v/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 spans="1:23" x14ac:dyDescent="0.45">
      <c r="A13" s="16" t="str">
        <f>Causes!A13</f>
        <v>C08</v>
      </c>
      <c r="B13" s="13" t="str">
        <f>IF(Causes!B13="","",Causes!B13)</f>
        <v/>
      </c>
      <c r="C13" s="13" t="str">
        <f>IF(Causes!C13="","",Causes!C13)</f>
        <v/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x14ac:dyDescent="0.45">
      <c r="A14" s="16" t="str">
        <f>Causes!A14</f>
        <v>C09</v>
      </c>
      <c r="B14" s="13" t="str">
        <f>IF(Causes!B14="","",Causes!B14)</f>
        <v/>
      </c>
      <c r="C14" s="13" t="str">
        <f>IF(Causes!C14="","",Causes!C14)</f>
        <v/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</row>
    <row r="15" spans="1:23" x14ac:dyDescent="0.45">
      <c r="A15" s="16" t="str">
        <f>Causes!A15</f>
        <v>C10</v>
      </c>
      <c r="B15" s="13" t="str">
        <f>IF(Causes!B15="","",Causes!B15)</f>
        <v/>
      </c>
      <c r="C15" s="13" t="str">
        <f>IF(Causes!C15="","",Causes!C15)</f>
        <v/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3" x14ac:dyDescent="0.45">
      <c r="A16" s="16" t="str">
        <f>Causes!A16</f>
        <v>C11</v>
      </c>
      <c r="B16" s="13" t="str">
        <f>IF(Causes!B16="","",Causes!B16)</f>
        <v/>
      </c>
      <c r="C16" s="13" t="str">
        <f>IF(Causes!C16="","",Causes!C16)</f>
        <v/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3" x14ac:dyDescent="0.45">
      <c r="A17" s="16" t="str">
        <f>Causes!A17</f>
        <v>C12</v>
      </c>
      <c r="B17" s="13" t="str">
        <f>IF(Causes!B17="","",Causes!B17)</f>
        <v/>
      </c>
      <c r="C17" s="13" t="str">
        <f>IF(Causes!C17="","",Causes!C17)</f>
        <v/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</row>
    <row r="18" spans="1:23" x14ac:dyDescent="0.45">
      <c r="A18" s="16" t="str">
        <f>Causes!A18</f>
        <v>C13</v>
      </c>
      <c r="B18" s="13" t="str">
        <f>IF(Causes!B18="","",Causes!B18)</f>
        <v/>
      </c>
      <c r="C18" s="13" t="str">
        <f>IF(Causes!C18="","",Causes!C18)</f>
        <v/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</row>
    <row r="19" spans="1:23" x14ac:dyDescent="0.45">
      <c r="A19" s="16" t="str">
        <f>Causes!A19</f>
        <v>C14</v>
      </c>
      <c r="B19" s="13" t="str">
        <f>IF(Causes!B19="","",Causes!B19)</f>
        <v/>
      </c>
      <c r="C19" s="13" t="str">
        <f>IF(Causes!C19="","",Causes!C19)</f>
        <v/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</row>
    <row r="20" spans="1:23" x14ac:dyDescent="0.45">
      <c r="A20" s="16" t="str">
        <f>Causes!A20</f>
        <v>C15</v>
      </c>
      <c r="B20" s="13" t="str">
        <f>IF(Causes!B20="","",Causes!B20)</f>
        <v/>
      </c>
      <c r="C20" s="13" t="str">
        <f>IF(Causes!C20="","",Causes!C20)</f>
        <v/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</row>
    <row r="21" spans="1:23" x14ac:dyDescent="0.45">
      <c r="A21" s="16" t="str">
        <f>Causes!A21</f>
        <v>C16</v>
      </c>
      <c r="B21" s="13" t="str">
        <f>IF(Causes!B21="","",Causes!B21)</f>
        <v/>
      </c>
      <c r="C21" s="13" t="str">
        <f>IF(Causes!C21="","",Causes!C21)</f>
        <v/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</row>
    <row r="22" spans="1:23" x14ac:dyDescent="0.45">
      <c r="A22" s="16" t="str">
        <f>Causes!A22</f>
        <v>C17</v>
      </c>
      <c r="B22" s="13" t="str">
        <f>IF(Causes!B22="","",Causes!B22)</f>
        <v/>
      </c>
      <c r="C22" s="13" t="str">
        <f>IF(Causes!C22="","",Causes!C22)</f>
        <v/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</row>
    <row r="23" spans="1:23" x14ac:dyDescent="0.45">
      <c r="A23" s="16" t="str">
        <f>Causes!A23</f>
        <v>C18</v>
      </c>
      <c r="B23" s="13" t="str">
        <f>IF(Causes!B23="","",Causes!B23)</f>
        <v/>
      </c>
      <c r="C23" s="13" t="str">
        <f>IF(Causes!C23="","",Causes!C23)</f>
        <v/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</row>
    <row r="24" spans="1:23" x14ac:dyDescent="0.45">
      <c r="A24" s="16" t="str">
        <f>Causes!A24</f>
        <v>C19</v>
      </c>
      <c r="B24" s="13" t="str">
        <f>IF(Causes!B24="","",Causes!B24)</f>
        <v/>
      </c>
      <c r="C24" s="13" t="str">
        <f>IF(Causes!C24="","",Causes!C24)</f>
        <v/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</row>
    <row r="25" spans="1:23" x14ac:dyDescent="0.45">
      <c r="A25" s="16" t="str">
        <f>Causes!A25</f>
        <v>C20</v>
      </c>
      <c r="B25" s="13" t="str">
        <f>IF(Causes!B25="","",Causes!B25)</f>
        <v/>
      </c>
      <c r="C25" s="13" t="str">
        <f>IF(Causes!C25="","",Causes!C25)</f>
        <v/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spans="1:23" x14ac:dyDescent="0.45">
      <c r="A26" s="16" t="str">
        <f>Causes!A26</f>
        <v>C21</v>
      </c>
      <c r="B26" s="13" t="str">
        <f>IF(Causes!B26="","",Causes!B26)</f>
        <v/>
      </c>
      <c r="C26" s="13" t="str">
        <f>IF(Causes!C26="","",Causes!C26)</f>
        <v/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spans="1:23" x14ac:dyDescent="0.45">
      <c r="A27" s="16" t="str">
        <f>Causes!A27</f>
        <v>C22</v>
      </c>
      <c r="B27" s="13" t="str">
        <f>IF(Causes!B27="","",Causes!B27)</f>
        <v/>
      </c>
      <c r="C27" s="13" t="str">
        <f>IF(Causes!C27="","",Causes!C27)</f>
        <v/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</row>
    <row r="28" spans="1:23" x14ac:dyDescent="0.45">
      <c r="A28" s="16" t="str">
        <f>Causes!A28</f>
        <v>C23</v>
      </c>
      <c r="B28" s="13" t="str">
        <f>IF(Causes!B28="","",Causes!B28)</f>
        <v/>
      </c>
      <c r="C28" s="13" t="str">
        <f>IF(Causes!C28="","",Causes!C28)</f>
        <v/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</row>
    <row r="29" spans="1:23" x14ac:dyDescent="0.45">
      <c r="A29" s="16" t="str">
        <f>Causes!A29</f>
        <v>C24</v>
      </c>
      <c r="B29" s="13" t="str">
        <f>IF(Causes!B29="","",Causes!B29)</f>
        <v/>
      </c>
      <c r="C29" s="13" t="str">
        <f>IF(Causes!C29="","",Causes!C29)</f>
        <v/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</row>
    <row r="30" spans="1:23" x14ac:dyDescent="0.45">
      <c r="A30" s="16" t="str">
        <f>Causes!A30</f>
        <v>C25</v>
      </c>
      <c r="B30" s="13" t="str">
        <f>IF(Causes!B30="","",Causes!B30)</f>
        <v/>
      </c>
      <c r="C30" s="13" t="str">
        <f>IF(Causes!C30="","",Causes!C30)</f>
        <v/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promptTitle="Choose" prompt="Never / Rarely / Sometimes / Often / Almost always / Unrelated" xr:uid="{00000000-0002-0000-0700-000000000000}">
          <x14:formula1>
            <xm:f>Scale!$A$5:$A$10</xm:f>
          </x14:formula1>
          <xm:sqref>D6:W30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0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9" customWidth="1"/>
    <col min="2" max="2" width="15" customWidth="1"/>
    <col min="3" max="3" width="28" customWidth="1"/>
    <col min="4" max="18" width="7" customWidth="1"/>
  </cols>
  <sheetData>
    <row r="1" spans="1:18" ht="17.649999999999999" x14ac:dyDescent="0.5">
      <c r="A1" s="1" t="s">
        <v>190</v>
      </c>
    </row>
    <row r="2" spans="1:18" x14ac:dyDescent="0.45">
      <c r="A2" s="2" t="s">
        <v>191</v>
      </c>
    </row>
    <row r="3" spans="1:18" x14ac:dyDescent="0.45">
      <c r="D3" s="22" t="s">
        <v>192</v>
      </c>
    </row>
    <row r="4" spans="1:18" ht="150" customHeight="1" x14ac:dyDescent="0.45">
      <c r="A4" s="11" t="s">
        <v>69</v>
      </c>
      <c r="B4" s="11" t="s">
        <v>70</v>
      </c>
      <c r="C4" s="11" t="s">
        <v>71</v>
      </c>
      <c r="D4" s="23" t="str">
        <f>Symptoms!A6&amp;IF(Symptoms!B6="",""," "&amp;Symptoms!B6)</f>
        <v>S01</v>
      </c>
      <c r="E4" s="23" t="str">
        <f>Symptoms!A7&amp;IF(Symptoms!B7="",""," "&amp;Symptoms!B7)</f>
        <v>S02</v>
      </c>
      <c r="F4" s="23" t="str">
        <f>Symptoms!A8&amp;IF(Symptoms!B8="",""," "&amp;Symptoms!B8)</f>
        <v>S03</v>
      </c>
      <c r="G4" s="23" t="str">
        <f>Symptoms!A9&amp;IF(Symptoms!B9="",""," "&amp;Symptoms!B9)</f>
        <v>S04</v>
      </c>
      <c r="H4" s="23" t="str">
        <f>Symptoms!A10&amp;IF(Symptoms!B10="",""," "&amp;Symptoms!B10)</f>
        <v>S05</v>
      </c>
      <c r="I4" s="23" t="str">
        <f>Symptoms!A11&amp;IF(Symptoms!B11="",""," "&amp;Symptoms!B11)</f>
        <v>S06</v>
      </c>
      <c r="J4" s="23" t="str">
        <f>Symptoms!A12&amp;IF(Symptoms!B12="",""," "&amp;Symptoms!B12)</f>
        <v>S07</v>
      </c>
      <c r="K4" s="23" t="str">
        <f>Symptoms!A13&amp;IF(Symptoms!B13="",""," "&amp;Symptoms!B13)</f>
        <v>S08</v>
      </c>
      <c r="L4" s="23" t="str">
        <f>Symptoms!A14&amp;IF(Symptoms!B14="",""," "&amp;Symptoms!B14)</f>
        <v>S09</v>
      </c>
      <c r="M4" s="23" t="str">
        <f>Symptoms!A15&amp;IF(Symptoms!B15="",""," "&amp;Symptoms!B15)</f>
        <v>S10</v>
      </c>
      <c r="N4" s="23" t="str">
        <f>Symptoms!A16&amp;IF(Symptoms!B16="",""," "&amp;Symptoms!B16)</f>
        <v>S11</v>
      </c>
      <c r="O4" s="23" t="str">
        <f>Symptoms!A17&amp;IF(Symptoms!B17="",""," "&amp;Symptoms!B17)</f>
        <v>S12</v>
      </c>
      <c r="P4" s="23" t="str">
        <f>Symptoms!A18&amp;IF(Symptoms!B18="",""," "&amp;Symptoms!B18)</f>
        <v>S13</v>
      </c>
      <c r="Q4" s="23" t="str">
        <f>Symptoms!A19&amp;IF(Symptoms!B19="",""," "&amp;Symptoms!B19)</f>
        <v>S14</v>
      </c>
      <c r="R4" s="23" t="str">
        <f>Symptoms!A20&amp;IF(Symptoms!B20="",""," "&amp;Symptoms!B20)</f>
        <v>S15</v>
      </c>
    </row>
    <row r="6" spans="1:18" x14ac:dyDescent="0.45">
      <c r="A6" s="16" t="str">
        <f>Causes!A6</f>
        <v>C01</v>
      </c>
      <c r="B6" s="13" t="str">
        <f>IF(Causes!B6="","",Causes!B6)</f>
        <v/>
      </c>
      <c r="C6" s="13" t="str">
        <f>IF(Causes!C6="","",Causes!C6)</f>
        <v/>
      </c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1:18" x14ac:dyDescent="0.45">
      <c r="A7" s="16" t="str">
        <f>Causes!A7</f>
        <v>C02</v>
      </c>
      <c r="B7" s="13" t="str">
        <f>IF(Causes!B7="","",Causes!B7)</f>
        <v/>
      </c>
      <c r="C7" s="13" t="str">
        <f>IF(Causes!C7="","",Causes!C7)</f>
        <v/>
      </c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spans="1:18" x14ac:dyDescent="0.45">
      <c r="A8" s="16" t="str">
        <f>Causes!A8</f>
        <v>C03</v>
      </c>
      <c r="B8" s="13" t="str">
        <f>IF(Causes!B8="","",Causes!B8)</f>
        <v/>
      </c>
      <c r="C8" s="13" t="str">
        <f>IF(Causes!C8="","",Causes!C8)</f>
        <v/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</row>
    <row r="9" spans="1:18" x14ac:dyDescent="0.45">
      <c r="A9" s="16" t="str">
        <f>Causes!A9</f>
        <v>C04</v>
      </c>
      <c r="B9" s="13" t="str">
        <f>IF(Causes!B9="","",Causes!B9)</f>
        <v/>
      </c>
      <c r="C9" s="13" t="str">
        <f>IF(Causes!C9="","",Causes!C9)</f>
        <v/>
      </c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</row>
    <row r="10" spans="1:18" x14ac:dyDescent="0.45">
      <c r="A10" s="16" t="str">
        <f>Causes!A10</f>
        <v>C05</v>
      </c>
      <c r="B10" s="13" t="str">
        <f>IF(Causes!B10="","",Causes!B10)</f>
        <v/>
      </c>
      <c r="C10" s="13" t="str">
        <f>IF(Causes!C10="","",Causes!C10)</f>
        <v/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</row>
    <row r="11" spans="1:18" x14ac:dyDescent="0.45">
      <c r="A11" s="16" t="str">
        <f>Causes!A11</f>
        <v>C06</v>
      </c>
      <c r="B11" s="13" t="str">
        <f>IF(Causes!B11="","",Causes!B11)</f>
        <v/>
      </c>
      <c r="C11" s="13" t="str">
        <f>IF(Causes!C11="","",Causes!C11)</f>
        <v/>
      </c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</row>
    <row r="12" spans="1:18" x14ac:dyDescent="0.45">
      <c r="A12" s="16" t="str">
        <f>Causes!A12</f>
        <v>C07</v>
      </c>
      <c r="B12" s="13" t="str">
        <f>IF(Causes!B12="","",Causes!B12)</f>
        <v/>
      </c>
      <c r="C12" s="13" t="str">
        <f>IF(Causes!C12="","",Causes!C12)</f>
        <v/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</row>
    <row r="13" spans="1:18" x14ac:dyDescent="0.45">
      <c r="A13" s="16" t="str">
        <f>Causes!A13</f>
        <v>C08</v>
      </c>
      <c r="B13" s="13" t="str">
        <f>IF(Causes!B13="","",Causes!B13)</f>
        <v/>
      </c>
      <c r="C13" s="13" t="str">
        <f>IF(Causes!C13="","",Causes!C13)</f>
        <v/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</row>
    <row r="14" spans="1:18" x14ac:dyDescent="0.45">
      <c r="A14" s="16" t="str">
        <f>Causes!A14</f>
        <v>C09</v>
      </c>
      <c r="B14" s="13" t="str">
        <f>IF(Causes!B14="","",Causes!B14)</f>
        <v/>
      </c>
      <c r="C14" s="13" t="str">
        <f>IF(Causes!C14="","",Causes!C14)</f>
        <v/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</row>
    <row r="15" spans="1:18" x14ac:dyDescent="0.45">
      <c r="A15" s="16" t="str">
        <f>Causes!A15</f>
        <v>C10</v>
      </c>
      <c r="B15" s="13" t="str">
        <f>IF(Causes!B15="","",Causes!B15)</f>
        <v/>
      </c>
      <c r="C15" s="13" t="str">
        <f>IF(Causes!C15="","",Causes!C15)</f>
        <v/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18" x14ac:dyDescent="0.45">
      <c r="A16" s="16" t="str">
        <f>Causes!A16</f>
        <v>C11</v>
      </c>
      <c r="B16" s="13" t="str">
        <f>IF(Causes!B16="","",Causes!B16)</f>
        <v/>
      </c>
      <c r="C16" s="13" t="str">
        <f>IF(Causes!C16="","",Causes!C16)</f>
        <v/>
      </c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x14ac:dyDescent="0.45">
      <c r="A17" s="16" t="str">
        <f>Causes!A17</f>
        <v>C12</v>
      </c>
      <c r="B17" s="13" t="str">
        <f>IF(Causes!B17="","",Causes!B17)</f>
        <v/>
      </c>
      <c r="C17" s="13" t="str">
        <f>IF(Causes!C17="","",Causes!C17)</f>
        <v/>
      </c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 x14ac:dyDescent="0.45">
      <c r="A18" s="16" t="str">
        <f>Causes!A18</f>
        <v>C13</v>
      </c>
      <c r="B18" s="13" t="str">
        <f>IF(Causes!B18="","",Causes!B18)</f>
        <v/>
      </c>
      <c r="C18" s="13" t="str">
        <f>IF(Causes!C18="","",Causes!C18)</f>
        <v/>
      </c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x14ac:dyDescent="0.45">
      <c r="A19" s="16" t="str">
        <f>Causes!A19</f>
        <v>C14</v>
      </c>
      <c r="B19" s="13" t="str">
        <f>IF(Causes!B19="","",Causes!B19)</f>
        <v/>
      </c>
      <c r="C19" s="13" t="str">
        <f>IF(Causes!C19="","",Causes!C19)</f>
        <v/>
      </c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x14ac:dyDescent="0.45">
      <c r="A20" s="16" t="str">
        <f>Causes!A20</f>
        <v>C15</v>
      </c>
      <c r="B20" s="13" t="str">
        <f>IF(Causes!B20="","",Causes!B20)</f>
        <v/>
      </c>
      <c r="C20" s="13" t="str">
        <f>IF(Causes!C20="","",Causes!C20)</f>
        <v/>
      </c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 x14ac:dyDescent="0.45">
      <c r="A21" s="16" t="str">
        <f>Causes!A21</f>
        <v>C16</v>
      </c>
      <c r="B21" s="13" t="str">
        <f>IF(Causes!B21="","",Causes!B21)</f>
        <v/>
      </c>
      <c r="C21" s="13" t="str">
        <f>IF(Causes!C21="","",Causes!C21)</f>
        <v/>
      </c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x14ac:dyDescent="0.45">
      <c r="A22" s="16" t="str">
        <f>Causes!A22</f>
        <v>C17</v>
      </c>
      <c r="B22" s="13" t="str">
        <f>IF(Causes!B22="","",Causes!B22)</f>
        <v/>
      </c>
      <c r="C22" s="13" t="str">
        <f>IF(Causes!C22="","",Causes!C22)</f>
        <v/>
      </c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x14ac:dyDescent="0.45">
      <c r="A23" s="16" t="str">
        <f>Causes!A23</f>
        <v>C18</v>
      </c>
      <c r="B23" s="13" t="str">
        <f>IF(Causes!B23="","",Causes!B23)</f>
        <v/>
      </c>
      <c r="C23" s="13" t="str">
        <f>IF(Causes!C23="","",Causes!C23)</f>
        <v/>
      </c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x14ac:dyDescent="0.45">
      <c r="A24" s="16" t="str">
        <f>Causes!A24</f>
        <v>C19</v>
      </c>
      <c r="B24" s="13" t="str">
        <f>IF(Causes!B24="","",Causes!B24)</f>
        <v/>
      </c>
      <c r="C24" s="13" t="str">
        <f>IF(Causes!C24="","",Causes!C24)</f>
        <v/>
      </c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1:18" x14ac:dyDescent="0.45">
      <c r="A25" s="16" t="str">
        <f>Causes!A25</f>
        <v>C20</v>
      </c>
      <c r="B25" s="13" t="str">
        <f>IF(Causes!B25="","",Causes!B25)</f>
        <v/>
      </c>
      <c r="C25" s="13" t="str">
        <f>IF(Causes!C25="","",Causes!C25)</f>
        <v/>
      </c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 x14ac:dyDescent="0.45">
      <c r="A26" s="16" t="str">
        <f>Causes!A26</f>
        <v>C21</v>
      </c>
      <c r="B26" s="13" t="str">
        <f>IF(Causes!B26="","",Causes!B26)</f>
        <v/>
      </c>
      <c r="C26" s="13" t="str">
        <f>IF(Causes!C26="","",Causes!C26)</f>
        <v/>
      </c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 x14ac:dyDescent="0.45">
      <c r="A27" s="16" t="str">
        <f>Causes!A27</f>
        <v>C22</v>
      </c>
      <c r="B27" s="13" t="str">
        <f>IF(Causes!B27="","",Causes!B27)</f>
        <v/>
      </c>
      <c r="C27" s="13" t="str">
        <f>IF(Causes!C27="","",Causes!C27)</f>
        <v/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18" x14ac:dyDescent="0.45">
      <c r="A28" s="16" t="str">
        <f>Causes!A28</f>
        <v>C23</v>
      </c>
      <c r="B28" s="13" t="str">
        <f>IF(Causes!B28="","",Causes!B28)</f>
        <v/>
      </c>
      <c r="C28" s="13" t="str">
        <f>IF(Causes!C28="","",Causes!C28)</f>
        <v/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</row>
    <row r="29" spans="1:18" x14ac:dyDescent="0.45">
      <c r="A29" s="16" t="str">
        <f>Causes!A29</f>
        <v>C24</v>
      </c>
      <c r="B29" s="13" t="str">
        <f>IF(Causes!B29="","",Causes!B29)</f>
        <v/>
      </c>
      <c r="C29" s="13" t="str">
        <f>IF(Causes!C29="","",Causes!C29)</f>
        <v/>
      </c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x14ac:dyDescent="0.45">
      <c r="A30" s="16" t="str">
        <f>Causes!A30</f>
        <v>C25</v>
      </c>
      <c r="B30" s="13" t="str">
        <f>IF(Causes!B30="","",Causes!B30)</f>
        <v/>
      </c>
      <c r="C30" s="13" t="str">
        <f>IF(Causes!C30="","",Causes!C30)</f>
        <v/>
      </c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promptTitle="Choose" prompt="Never / Rarely / Sometimes / Often / Almost always / Unrelated" xr:uid="{00000000-0002-0000-0800-000000000000}">
          <x14:formula1>
            <xm:f>Scale!$A$5:$A$10</xm:f>
          </x14:formula1>
          <xm:sqref>D6:R30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30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9" customWidth="1"/>
    <col min="2" max="2" width="15" customWidth="1"/>
    <col min="3" max="3" width="28" customWidth="1"/>
    <col min="4" max="23" width="6" customWidth="1"/>
  </cols>
  <sheetData>
    <row r="1" spans="1:23" ht="17.649999999999999" x14ac:dyDescent="0.5">
      <c r="A1" s="1" t="s">
        <v>193</v>
      </c>
    </row>
    <row r="2" spans="1:23" x14ac:dyDescent="0.45">
      <c r="A2" s="2" t="s">
        <v>194</v>
      </c>
    </row>
    <row r="4" spans="1:23" ht="150" customHeight="1" x14ac:dyDescent="0.45">
      <c r="A4" s="11" t="s">
        <v>69</v>
      </c>
      <c r="B4" s="11" t="s">
        <v>70</v>
      </c>
      <c r="C4" s="11" t="s">
        <v>71</v>
      </c>
      <c r="D4" s="23" t="str">
        <f>'Check likelihoods'!D4</f>
        <v>D01</v>
      </c>
      <c r="E4" s="23" t="str">
        <f>'Check likelihoods'!E4</f>
        <v>D02</v>
      </c>
      <c r="F4" s="23" t="str">
        <f>'Check likelihoods'!F4</f>
        <v>D03</v>
      </c>
      <c r="G4" s="23" t="str">
        <f>'Check likelihoods'!G4</f>
        <v>D04</v>
      </c>
      <c r="H4" s="23" t="str">
        <f>'Check likelihoods'!H4</f>
        <v>D05</v>
      </c>
      <c r="I4" s="23" t="str">
        <f>'Check likelihoods'!I4</f>
        <v>D06</v>
      </c>
      <c r="J4" s="23" t="str">
        <f>'Check likelihoods'!J4</f>
        <v>D07</v>
      </c>
      <c r="K4" s="23" t="str">
        <f>'Check likelihoods'!K4</f>
        <v>D08</v>
      </c>
      <c r="L4" s="23" t="str">
        <f>'Check likelihoods'!L4</f>
        <v>D09</v>
      </c>
      <c r="M4" s="23" t="str">
        <f>'Check likelihoods'!M4</f>
        <v>D10</v>
      </c>
      <c r="N4" s="23" t="str">
        <f>'Check likelihoods'!N4</f>
        <v>D11</v>
      </c>
      <c r="O4" s="23" t="str">
        <f>'Check likelihoods'!O4</f>
        <v>D12</v>
      </c>
      <c r="P4" s="23" t="str">
        <f>'Check likelihoods'!P4</f>
        <v>D13</v>
      </c>
      <c r="Q4" s="23" t="str">
        <f>'Check likelihoods'!Q4</f>
        <v>D14</v>
      </c>
      <c r="R4" s="23" t="str">
        <f>'Check likelihoods'!R4</f>
        <v>D15</v>
      </c>
      <c r="S4" s="23" t="str">
        <f>'Check likelihoods'!S4</f>
        <v>D16</v>
      </c>
      <c r="T4" s="23" t="str">
        <f>'Check likelihoods'!T4</f>
        <v>D17</v>
      </c>
      <c r="U4" s="23" t="str">
        <f>'Check likelihoods'!U4</f>
        <v>D18</v>
      </c>
      <c r="V4" s="23" t="str">
        <f>'Check likelihoods'!V4</f>
        <v>D19</v>
      </c>
      <c r="W4" s="23" t="str">
        <f>'Check likelihoods'!W4</f>
        <v>D20</v>
      </c>
    </row>
    <row r="6" spans="1:23" x14ac:dyDescent="0.45">
      <c r="A6" s="13" t="str">
        <f>'Check likelihoods'!A6</f>
        <v>C01</v>
      </c>
      <c r="B6" s="13" t="str">
        <f>'Check likelihoods'!B6</f>
        <v/>
      </c>
      <c r="C6" s="13" t="str">
        <f>'Check likelihoods'!C6</f>
        <v/>
      </c>
      <c r="D6" s="25">
        <f>IF('Check likelihoods'!D6="",Scale!$B$12,IFERROR(INDEX(Scale!$B$5:$B$10,MATCH('Check likelihoods'!D6,Scale!$A$5:$A$10,0)),Scale!$B$12))</f>
        <v>0.05</v>
      </c>
      <c r="E6" s="25">
        <f>IF('Check likelihoods'!E6="",Scale!$B$12,IFERROR(INDEX(Scale!$B$5:$B$10,MATCH('Check likelihoods'!E6,Scale!$A$5:$A$10,0)),Scale!$B$12))</f>
        <v>0.05</v>
      </c>
      <c r="F6" s="25">
        <f>IF('Check likelihoods'!F6="",Scale!$B$12,IFERROR(INDEX(Scale!$B$5:$B$10,MATCH('Check likelihoods'!F6,Scale!$A$5:$A$10,0)),Scale!$B$12))</f>
        <v>0.05</v>
      </c>
      <c r="G6" s="25">
        <f>IF('Check likelihoods'!G6="",Scale!$B$12,IFERROR(INDEX(Scale!$B$5:$B$10,MATCH('Check likelihoods'!G6,Scale!$A$5:$A$10,0)),Scale!$B$12))</f>
        <v>0.05</v>
      </c>
      <c r="H6" s="25">
        <f>IF('Check likelihoods'!H6="",Scale!$B$12,IFERROR(INDEX(Scale!$B$5:$B$10,MATCH('Check likelihoods'!H6,Scale!$A$5:$A$10,0)),Scale!$B$12))</f>
        <v>0.05</v>
      </c>
      <c r="I6" s="25">
        <f>IF('Check likelihoods'!I6="",Scale!$B$12,IFERROR(INDEX(Scale!$B$5:$B$10,MATCH('Check likelihoods'!I6,Scale!$A$5:$A$10,0)),Scale!$B$12))</f>
        <v>0.05</v>
      </c>
      <c r="J6" s="25">
        <f>IF('Check likelihoods'!J6="",Scale!$B$12,IFERROR(INDEX(Scale!$B$5:$B$10,MATCH('Check likelihoods'!J6,Scale!$A$5:$A$10,0)),Scale!$B$12))</f>
        <v>0.05</v>
      </c>
      <c r="K6" s="25">
        <f>IF('Check likelihoods'!K6="",Scale!$B$12,IFERROR(INDEX(Scale!$B$5:$B$10,MATCH('Check likelihoods'!K6,Scale!$A$5:$A$10,0)),Scale!$B$12))</f>
        <v>0.05</v>
      </c>
      <c r="L6" s="25">
        <f>IF('Check likelihoods'!L6="",Scale!$B$12,IFERROR(INDEX(Scale!$B$5:$B$10,MATCH('Check likelihoods'!L6,Scale!$A$5:$A$10,0)),Scale!$B$12))</f>
        <v>0.05</v>
      </c>
      <c r="M6" s="25">
        <f>IF('Check likelihoods'!M6="",Scale!$B$12,IFERROR(INDEX(Scale!$B$5:$B$10,MATCH('Check likelihoods'!M6,Scale!$A$5:$A$10,0)),Scale!$B$12))</f>
        <v>0.05</v>
      </c>
      <c r="N6" s="25">
        <f>IF('Check likelihoods'!N6="",Scale!$B$12,IFERROR(INDEX(Scale!$B$5:$B$10,MATCH('Check likelihoods'!N6,Scale!$A$5:$A$10,0)),Scale!$B$12))</f>
        <v>0.05</v>
      </c>
      <c r="O6" s="25">
        <f>IF('Check likelihoods'!O6="",Scale!$B$12,IFERROR(INDEX(Scale!$B$5:$B$10,MATCH('Check likelihoods'!O6,Scale!$A$5:$A$10,0)),Scale!$B$12))</f>
        <v>0.05</v>
      </c>
      <c r="P6" s="25">
        <f>IF('Check likelihoods'!P6="",Scale!$B$12,IFERROR(INDEX(Scale!$B$5:$B$10,MATCH('Check likelihoods'!P6,Scale!$A$5:$A$10,0)),Scale!$B$12))</f>
        <v>0.05</v>
      </c>
      <c r="Q6" s="25">
        <f>IF('Check likelihoods'!Q6="",Scale!$B$12,IFERROR(INDEX(Scale!$B$5:$B$10,MATCH('Check likelihoods'!Q6,Scale!$A$5:$A$10,0)),Scale!$B$12))</f>
        <v>0.05</v>
      </c>
      <c r="R6" s="25">
        <f>IF('Check likelihoods'!R6="",Scale!$B$12,IFERROR(INDEX(Scale!$B$5:$B$10,MATCH('Check likelihoods'!R6,Scale!$A$5:$A$10,0)),Scale!$B$12))</f>
        <v>0.05</v>
      </c>
      <c r="S6" s="25">
        <f>IF('Check likelihoods'!S6="",Scale!$B$12,IFERROR(INDEX(Scale!$B$5:$B$10,MATCH('Check likelihoods'!S6,Scale!$A$5:$A$10,0)),Scale!$B$12))</f>
        <v>0.05</v>
      </c>
      <c r="T6" s="25">
        <f>IF('Check likelihoods'!T6="",Scale!$B$12,IFERROR(INDEX(Scale!$B$5:$B$10,MATCH('Check likelihoods'!T6,Scale!$A$5:$A$10,0)),Scale!$B$12))</f>
        <v>0.05</v>
      </c>
      <c r="U6" s="25">
        <f>IF('Check likelihoods'!U6="",Scale!$B$12,IFERROR(INDEX(Scale!$B$5:$B$10,MATCH('Check likelihoods'!U6,Scale!$A$5:$A$10,0)),Scale!$B$12))</f>
        <v>0.05</v>
      </c>
      <c r="V6" s="25">
        <f>IF('Check likelihoods'!V6="",Scale!$B$12,IFERROR(INDEX(Scale!$B$5:$B$10,MATCH('Check likelihoods'!V6,Scale!$A$5:$A$10,0)),Scale!$B$12))</f>
        <v>0.05</v>
      </c>
      <c r="W6" s="25">
        <f>IF('Check likelihoods'!W6="",Scale!$B$12,IFERROR(INDEX(Scale!$B$5:$B$10,MATCH('Check likelihoods'!W6,Scale!$A$5:$A$10,0)),Scale!$B$12))</f>
        <v>0.05</v>
      </c>
    </row>
    <row r="7" spans="1:23" x14ac:dyDescent="0.45">
      <c r="A7" s="13" t="str">
        <f>'Check likelihoods'!A7</f>
        <v>C02</v>
      </c>
      <c r="B7" s="13" t="str">
        <f>'Check likelihoods'!B7</f>
        <v/>
      </c>
      <c r="C7" s="13" t="str">
        <f>'Check likelihoods'!C7</f>
        <v/>
      </c>
      <c r="D7" s="25">
        <f>IF('Check likelihoods'!D7="",Scale!$B$12,IFERROR(INDEX(Scale!$B$5:$B$10,MATCH('Check likelihoods'!D7,Scale!$A$5:$A$10,0)),Scale!$B$12))</f>
        <v>0.05</v>
      </c>
      <c r="E7" s="25">
        <f>IF('Check likelihoods'!E7="",Scale!$B$12,IFERROR(INDEX(Scale!$B$5:$B$10,MATCH('Check likelihoods'!E7,Scale!$A$5:$A$10,0)),Scale!$B$12))</f>
        <v>0.05</v>
      </c>
      <c r="F7" s="25">
        <f>IF('Check likelihoods'!F7="",Scale!$B$12,IFERROR(INDEX(Scale!$B$5:$B$10,MATCH('Check likelihoods'!F7,Scale!$A$5:$A$10,0)),Scale!$B$12))</f>
        <v>0.05</v>
      </c>
      <c r="G7" s="25">
        <f>IF('Check likelihoods'!G7="",Scale!$B$12,IFERROR(INDEX(Scale!$B$5:$B$10,MATCH('Check likelihoods'!G7,Scale!$A$5:$A$10,0)),Scale!$B$12))</f>
        <v>0.05</v>
      </c>
      <c r="H7" s="25">
        <f>IF('Check likelihoods'!H7="",Scale!$B$12,IFERROR(INDEX(Scale!$B$5:$B$10,MATCH('Check likelihoods'!H7,Scale!$A$5:$A$10,0)),Scale!$B$12))</f>
        <v>0.05</v>
      </c>
      <c r="I7" s="25">
        <f>IF('Check likelihoods'!I7="",Scale!$B$12,IFERROR(INDEX(Scale!$B$5:$B$10,MATCH('Check likelihoods'!I7,Scale!$A$5:$A$10,0)),Scale!$B$12))</f>
        <v>0.05</v>
      </c>
      <c r="J7" s="25">
        <f>IF('Check likelihoods'!J7="",Scale!$B$12,IFERROR(INDEX(Scale!$B$5:$B$10,MATCH('Check likelihoods'!J7,Scale!$A$5:$A$10,0)),Scale!$B$12))</f>
        <v>0.05</v>
      </c>
      <c r="K7" s="25">
        <f>IF('Check likelihoods'!K7="",Scale!$B$12,IFERROR(INDEX(Scale!$B$5:$B$10,MATCH('Check likelihoods'!K7,Scale!$A$5:$A$10,0)),Scale!$B$12))</f>
        <v>0.05</v>
      </c>
      <c r="L7" s="25">
        <f>IF('Check likelihoods'!L7="",Scale!$B$12,IFERROR(INDEX(Scale!$B$5:$B$10,MATCH('Check likelihoods'!L7,Scale!$A$5:$A$10,0)),Scale!$B$12))</f>
        <v>0.05</v>
      </c>
      <c r="M7" s="25">
        <f>IF('Check likelihoods'!M7="",Scale!$B$12,IFERROR(INDEX(Scale!$B$5:$B$10,MATCH('Check likelihoods'!M7,Scale!$A$5:$A$10,0)),Scale!$B$12))</f>
        <v>0.05</v>
      </c>
      <c r="N7" s="25">
        <f>IF('Check likelihoods'!N7="",Scale!$B$12,IFERROR(INDEX(Scale!$B$5:$B$10,MATCH('Check likelihoods'!N7,Scale!$A$5:$A$10,0)),Scale!$B$12))</f>
        <v>0.05</v>
      </c>
      <c r="O7" s="25">
        <f>IF('Check likelihoods'!O7="",Scale!$B$12,IFERROR(INDEX(Scale!$B$5:$B$10,MATCH('Check likelihoods'!O7,Scale!$A$5:$A$10,0)),Scale!$B$12))</f>
        <v>0.05</v>
      </c>
      <c r="P7" s="25">
        <f>IF('Check likelihoods'!P7="",Scale!$B$12,IFERROR(INDEX(Scale!$B$5:$B$10,MATCH('Check likelihoods'!P7,Scale!$A$5:$A$10,0)),Scale!$B$12))</f>
        <v>0.05</v>
      </c>
      <c r="Q7" s="25">
        <f>IF('Check likelihoods'!Q7="",Scale!$B$12,IFERROR(INDEX(Scale!$B$5:$B$10,MATCH('Check likelihoods'!Q7,Scale!$A$5:$A$10,0)),Scale!$B$12))</f>
        <v>0.05</v>
      </c>
      <c r="R7" s="25">
        <f>IF('Check likelihoods'!R7="",Scale!$B$12,IFERROR(INDEX(Scale!$B$5:$B$10,MATCH('Check likelihoods'!R7,Scale!$A$5:$A$10,0)),Scale!$B$12))</f>
        <v>0.05</v>
      </c>
      <c r="S7" s="25">
        <f>IF('Check likelihoods'!S7="",Scale!$B$12,IFERROR(INDEX(Scale!$B$5:$B$10,MATCH('Check likelihoods'!S7,Scale!$A$5:$A$10,0)),Scale!$B$12))</f>
        <v>0.05</v>
      </c>
      <c r="T7" s="25">
        <f>IF('Check likelihoods'!T7="",Scale!$B$12,IFERROR(INDEX(Scale!$B$5:$B$10,MATCH('Check likelihoods'!T7,Scale!$A$5:$A$10,0)),Scale!$B$12))</f>
        <v>0.05</v>
      </c>
      <c r="U7" s="25">
        <f>IF('Check likelihoods'!U7="",Scale!$B$12,IFERROR(INDEX(Scale!$B$5:$B$10,MATCH('Check likelihoods'!U7,Scale!$A$5:$A$10,0)),Scale!$B$12))</f>
        <v>0.05</v>
      </c>
      <c r="V7" s="25">
        <f>IF('Check likelihoods'!V7="",Scale!$B$12,IFERROR(INDEX(Scale!$B$5:$B$10,MATCH('Check likelihoods'!V7,Scale!$A$5:$A$10,0)),Scale!$B$12))</f>
        <v>0.05</v>
      </c>
      <c r="W7" s="25">
        <f>IF('Check likelihoods'!W7="",Scale!$B$12,IFERROR(INDEX(Scale!$B$5:$B$10,MATCH('Check likelihoods'!W7,Scale!$A$5:$A$10,0)),Scale!$B$12))</f>
        <v>0.05</v>
      </c>
    </row>
    <row r="8" spans="1:23" x14ac:dyDescent="0.45">
      <c r="A8" s="13" t="str">
        <f>'Check likelihoods'!A8</f>
        <v>C03</v>
      </c>
      <c r="B8" s="13" t="str">
        <f>'Check likelihoods'!B8</f>
        <v/>
      </c>
      <c r="C8" s="13" t="str">
        <f>'Check likelihoods'!C8</f>
        <v/>
      </c>
      <c r="D8" s="25">
        <f>IF('Check likelihoods'!D8="",Scale!$B$12,IFERROR(INDEX(Scale!$B$5:$B$10,MATCH('Check likelihoods'!D8,Scale!$A$5:$A$10,0)),Scale!$B$12))</f>
        <v>0.05</v>
      </c>
      <c r="E8" s="25">
        <f>IF('Check likelihoods'!E8="",Scale!$B$12,IFERROR(INDEX(Scale!$B$5:$B$10,MATCH('Check likelihoods'!E8,Scale!$A$5:$A$10,0)),Scale!$B$12))</f>
        <v>0.05</v>
      </c>
      <c r="F8" s="25">
        <f>IF('Check likelihoods'!F8="",Scale!$B$12,IFERROR(INDEX(Scale!$B$5:$B$10,MATCH('Check likelihoods'!F8,Scale!$A$5:$A$10,0)),Scale!$B$12))</f>
        <v>0.05</v>
      </c>
      <c r="G8" s="25">
        <f>IF('Check likelihoods'!G8="",Scale!$B$12,IFERROR(INDEX(Scale!$B$5:$B$10,MATCH('Check likelihoods'!G8,Scale!$A$5:$A$10,0)),Scale!$B$12))</f>
        <v>0.05</v>
      </c>
      <c r="H8" s="25">
        <f>IF('Check likelihoods'!H8="",Scale!$B$12,IFERROR(INDEX(Scale!$B$5:$B$10,MATCH('Check likelihoods'!H8,Scale!$A$5:$A$10,0)),Scale!$B$12))</f>
        <v>0.05</v>
      </c>
      <c r="I8" s="25">
        <f>IF('Check likelihoods'!I8="",Scale!$B$12,IFERROR(INDEX(Scale!$B$5:$B$10,MATCH('Check likelihoods'!I8,Scale!$A$5:$A$10,0)),Scale!$B$12))</f>
        <v>0.05</v>
      </c>
      <c r="J8" s="25">
        <f>IF('Check likelihoods'!J8="",Scale!$B$12,IFERROR(INDEX(Scale!$B$5:$B$10,MATCH('Check likelihoods'!J8,Scale!$A$5:$A$10,0)),Scale!$B$12))</f>
        <v>0.05</v>
      </c>
      <c r="K8" s="25">
        <f>IF('Check likelihoods'!K8="",Scale!$B$12,IFERROR(INDEX(Scale!$B$5:$B$10,MATCH('Check likelihoods'!K8,Scale!$A$5:$A$10,0)),Scale!$B$12))</f>
        <v>0.05</v>
      </c>
      <c r="L8" s="25">
        <f>IF('Check likelihoods'!L8="",Scale!$B$12,IFERROR(INDEX(Scale!$B$5:$B$10,MATCH('Check likelihoods'!L8,Scale!$A$5:$A$10,0)),Scale!$B$12))</f>
        <v>0.05</v>
      </c>
      <c r="M8" s="25">
        <f>IF('Check likelihoods'!M8="",Scale!$B$12,IFERROR(INDEX(Scale!$B$5:$B$10,MATCH('Check likelihoods'!M8,Scale!$A$5:$A$10,0)),Scale!$B$12))</f>
        <v>0.05</v>
      </c>
      <c r="N8" s="25">
        <f>IF('Check likelihoods'!N8="",Scale!$B$12,IFERROR(INDEX(Scale!$B$5:$B$10,MATCH('Check likelihoods'!N8,Scale!$A$5:$A$10,0)),Scale!$B$12))</f>
        <v>0.05</v>
      </c>
      <c r="O8" s="25">
        <f>IF('Check likelihoods'!O8="",Scale!$B$12,IFERROR(INDEX(Scale!$B$5:$B$10,MATCH('Check likelihoods'!O8,Scale!$A$5:$A$10,0)),Scale!$B$12))</f>
        <v>0.05</v>
      </c>
      <c r="P8" s="25">
        <f>IF('Check likelihoods'!P8="",Scale!$B$12,IFERROR(INDEX(Scale!$B$5:$B$10,MATCH('Check likelihoods'!P8,Scale!$A$5:$A$10,0)),Scale!$B$12))</f>
        <v>0.05</v>
      </c>
      <c r="Q8" s="25">
        <f>IF('Check likelihoods'!Q8="",Scale!$B$12,IFERROR(INDEX(Scale!$B$5:$B$10,MATCH('Check likelihoods'!Q8,Scale!$A$5:$A$10,0)),Scale!$B$12))</f>
        <v>0.05</v>
      </c>
      <c r="R8" s="25">
        <f>IF('Check likelihoods'!R8="",Scale!$B$12,IFERROR(INDEX(Scale!$B$5:$B$10,MATCH('Check likelihoods'!R8,Scale!$A$5:$A$10,0)),Scale!$B$12))</f>
        <v>0.05</v>
      </c>
      <c r="S8" s="25">
        <f>IF('Check likelihoods'!S8="",Scale!$B$12,IFERROR(INDEX(Scale!$B$5:$B$10,MATCH('Check likelihoods'!S8,Scale!$A$5:$A$10,0)),Scale!$B$12))</f>
        <v>0.05</v>
      </c>
      <c r="T8" s="25">
        <f>IF('Check likelihoods'!T8="",Scale!$B$12,IFERROR(INDEX(Scale!$B$5:$B$10,MATCH('Check likelihoods'!T8,Scale!$A$5:$A$10,0)),Scale!$B$12))</f>
        <v>0.05</v>
      </c>
      <c r="U8" s="25">
        <f>IF('Check likelihoods'!U8="",Scale!$B$12,IFERROR(INDEX(Scale!$B$5:$B$10,MATCH('Check likelihoods'!U8,Scale!$A$5:$A$10,0)),Scale!$B$12))</f>
        <v>0.05</v>
      </c>
      <c r="V8" s="25">
        <f>IF('Check likelihoods'!V8="",Scale!$B$12,IFERROR(INDEX(Scale!$B$5:$B$10,MATCH('Check likelihoods'!V8,Scale!$A$5:$A$10,0)),Scale!$B$12))</f>
        <v>0.05</v>
      </c>
      <c r="W8" s="25">
        <f>IF('Check likelihoods'!W8="",Scale!$B$12,IFERROR(INDEX(Scale!$B$5:$B$10,MATCH('Check likelihoods'!W8,Scale!$A$5:$A$10,0)),Scale!$B$12))</f>
        <v>0.05</v>
      </c>
    </row>
    <row r="9" spans="1:23" x14ac:dyDescent="0.45">
      <c r="A9" s="13" t="str">
        <f>'Check likelihoods'!A9</f>
        <v>C04</v>
      </c>
      <c r="B9" s="13" t="str">
        <f>'Check likelihoods'!B9</f>
        <v/>
      </c>
      <c r="C9" s="13" t="str">
        <f>'Check likelihoods'!C9</f>
        <v/>
      </c>
      <c r="D9" s="25">
        <f>IF('Check likelihoods'!D9="",Scale!$B$12,IFERROR(INDEX(Scale!$B$5:$B$10,MATCH('Check likelihoods'!D9,Scale!$A$5:$A$10,0)),Scale!$B$12))</f>
        <v>0.05</v>
      </c>
      <c r="E9" s="25">
        <f>IF('Check likelihoods'!E9="",Scale!$B$12,IFERROR(INDEX(Scale!$B$5:$B$10,MATCH('Check likelihoods'!E9,Scale!$A$5:$A$10,0)),Scale!$B$12))</f>
        <v>0.05</v>
      </c>
      <c r="F9" s="25">
        <f>IF('Check likelihoods'!F9="",Scale!$B$12,IFERROR(INDEX(Scale!$B$5:$B$10,MATCH('Check likelihoods'!F9,Scale!$A$5:$A$10,0)),Scale!$B$12))</f>
        <v>0.05</v>
      </c>
      <c r="G9" s="25">
        <f>IF('Check likelihoods'!G9="",Scale!$B$12,IFERROR(INDEX(Scale!$B$5:$B$10,MATCH('Check likelihoods'!G9,Scale!$A$5:$A$10,0)),Scale!$B$12))</f>
        <v>0.05</v>
      </c>
      <c r="H9" s="25">
        <f>IF('Check likelihoods'!H9="",Scale!$B$12,IFERROR(INDEX(Scale!$B$5:$B$10,MATCH('Check likelihoods'!H9,Scale!$A$5:$A$10,0)),Scale!$B$12))</f>
        <v>0.05</v>
      </c>
      <c r="I9" s="25">
        <f>IF('Check likelihoods'!I9="",Scale!$B$12,IFERROR(INDEX(Scale!$B$5:$B$10,MATCH('Check likelihoods'!I9,Scale!$A$5:$A$10,0)),Scale!$B$12))</f>
        <v>0.05</v>
      </c>
      <c r="J9" s="25">
        <f>IF('Check likelihoods'!J9="",Scale!$B$12,IFERROR(INDEX(Scale!$B$5:$B$10,MATCH('Check likelihoods'!J9,Scale!$A$5:$A$10,0)),Scale!$B$12))</f>
        <v>0.05</v>
      </c>
      <c r="K9" s="25">
        <f>IF('Check likelihoods'!K9="",Scale!$B$12,IFERROR(INDEX(Scale!$B$5:$B$10,MATCH('Check likelihoods'!K9,Scale!$A$5:$A$10,0)),Scale!$B$12))</f>
        <v>0.05</v>
      </c>
      <c r="L9" s="25">
        <f>IF('Check likelihoods'!L9="",Scale!$B$12,IFERROR(INDEX(Scale!$B$5:$B$10,MATCH('Check likelihoods'!L9,Scale!$A$5:$A$10,0)),Scale!$B$12))</f>
        <v>0.05</v>
      </c>
      <c r="M9" s="25">
        <f>IF('Check likelihoods'!M9="",Scale!$B$12,IFERROR(INDEX(Scale!$B$5:$B$10,MATCH('Check likelihoods'!M9,Scale!$A$5:$A$10,0)),Scale!$B$12))</f>
        <v>0.05</v>
      </c>
      <c r="N9" s="25">
        <f>IF('Check likelihoods'!N9="",Scale!$B$12,IFERROR(INDEX(Scale!$B$5:$B$10,MATCH('Check likelihoods'!N9,Scale!$A$5:$A$10,0)),Scale!$B$12))</f>
        <v>0.05</v>
      </c>
      <c r="O9" s="25">
        <f>IF('Check likelihoods'!O9="",Scale!$B$12,IFERROR(INDEX(Scale!$B$5:$B$10,MATCH('Check likelihoods'!O9,Scale!$A$5:$A$10,0)),Scale!$B$12))</f>
        <v>0.05</v>
      </c>
      <c r="P9" s="25">
        <f>IF('Check likelihoods'!P9="",Scale!$B$12,IFERROR(INDEX(Scale!$B$5:$B$10,MATCH('Check likelihoods'!P9,Scale!$A$5:$A$10,0)),Scale!$B$12))</f>
        <v>0.05</v>
      </c>
      <c r="Q9" s="25">
        <f>IF('Check likelihoods'!Q9="",Scale!$B$12,IFERROR(INDEX(Scale!$B$5:$B$10,MATCH('Check likelihoods'!Q9,Scale!$A$5:$A$10,0)),Scale!$B$12))</f>
        <v>0.05</v>
      </c>
      <c r="R9" s="25">
        <f>IF('Check likelihoods'!R9="",Scale!$B$12,IFERROR(INDEX(Scale!$B$5:$B$10,MATCH('Check likelihoods'!R9,Scale!$A$5:$A$10,0)),Scale!$B$12))</f>
        <v>0.05</v>
      </c>
      <c r="S9" s="25">
        <f>IF('Check likelihoods'!S9="",Scale!$B$12,IFERROR(INDEX(Scale!$B$5:$B$10,MATCH('Check likelihoods'!S9,Scale!$A$5:$A$10,0)),Scale!$B$12))</f>
        <v>0.05</v>
      </c>
      <c r="T9" s="25">
        <f>IF('Check likelihoods'!T9="",Scale!$B$12,IFERROR(INDEX(Scale!$B$5:$B$10,MATCH('Check likelihoods'!T9,Scale!$A$5:$A$10,0)),Scale!$B$12))</f>
        <v>0.05</v>
      </c>
      <c r="U9" s="25">
        <f>IF('Check likelihoods'!U9="",Scale!$B$12,IFERROR(INDEX(Scale!$B$5:$B$10,MATCH('Check likelihoods'!U9,Scale!$A$5:$A$10,0)),Scale!$B$12))</f>
        <v>0.05</v>
      </c>
      <c r="V9" s="25">
        <f>IF('Check likelihoods'!V9="",Scale!$B$12,IFERROR(INDEX(Scale!$B$5:$B$10,MATCH('Check likelihoods'!V9,Scale!$A$5:$A$10,0)),Scale!$B$12))</f>
        <v>0.05</v>
      </c>
      <c r="W9" s="25">
        <f>IF('Check likelihoods'!W9="",Scale!$B$12,IFERROR(INDEX(Scale!$B$5:$B$10,MATCH('Check likelihoods'!W9,Scale!$A$5:$A$10,0)),Scale!$B$12))</f>
        <v>0.05</v>
      </c>
    </row>
    <row r="10" spans="1:23" x14ac:dyDescent="0.45">
      <c r="A10" s="13" t="str">
        <f>'Check likelihoods'!A10</f>
        <v>C05</v>
      </c>
      <c r="B10" s="13" t="str">
        <f>'Check likelihoods'!B10</f>
        <v/>
      </c>
      <c r="C10" s="13" t="str">
        <f>'Check likelihoods'!C10</f>
        <v/>
      </c>
      <c r="D10" s="25">
        <f>IF('Check likelihoods'!D10="",Scale!$B$12,IFERROR(INDEX(Scale!$B$5:$B$10,MATCH('Check likelihoods'!D10,Scale!$A$5:$A$10,0)),Scale!$B$12))</f>
        <v>0.05</v>
      </c>
      <c r="E10" s="25">
        <f>IF('Check likelihoods'!E10="",Scale!$B$12,IFERROR(INDEX(Scale!$B$5:$B$10,MATCH('Check likelihoods'!E10,Scale!$A$5:$A$10,0)),Scale!$B$12))</f>
        <v>0.05</v>
      </c>
      <c r="F10" s="25">
        <f>IF('Check likelihoods'!F10="",Scale!$B$12,IFERROR(INDEX(Scale!$B$5:$B$10,MATCH('Check likelihoods'!F10,Scale!$A$5:$A$10,0)),Scale!$B$12))</f>
        <v>0.05</v>
      </c>
      <c r="G10" s="25">
        <f>IF('Check likelihoods'!G10="",Scale!$B$12,IFERROR(INDEX(Scale!$B$5:$B$10,MATCH('Check likelihoods'!G10,Scale!$A$5:$A$10,0)),Scale!$B$12))</f>
        <v>0.05</v>
      </c>
      <c r="H10" s="25">
        <f>IF('Check likelihoods'!H10="",Scale!$B$12,IFERROR(INDEX(Scale!$B$5:$B$10,MATCH('Check likelihoods'!H10,Scale!$A$5:$A$10,0)),Scale!$B$12))</f>
        <v>0.05</v>
      </c>
      <c r="I10" s="25">
        <f>IF('Check likelihoods'!I10="",Scale!$B$12,IFERROR(INDEX(Scale!$B$5:$B$10,MATCH('Check likelihoods'!I10,Scale!$A$5:$A$10,0)),Scale!$B$12))</f>
        <v>0.05</v>
      </c>
      <c r="J10" s="25">
        <f>IF('Check likelihoods'!J10="",Scale!$B$12,IFERROR(INDEX(Scale!$B$5:$B$10,MATCH('Check likelihoods'!J10,Scale!$A$5:$A$10,0)),Scale!$B$12))</f>
        <v>0.05</v>
      </c>
      <c r="K10" s="25">
        <f>IF('Check likelihoods'!K10="",Scale!$B$12,IFERROR(INDEX(Scale!$B$5:$B$10,MATCH('Check likelihoods'!K10,Scale!$A$5:$A$10,0)),Scale!$B$12))</f>
        <v>0.05</v>
      </c>
      <c r="L10" s="25">
        <f>IF('Check likelihoods'!L10="",Scale!$B$12,IFERROR(INDEX(Scale!$B$5:$B$10,MATCH('Check likelihoods'!L10,Scale!$A$5:$A$10,0)),Scale!$B$12))</f>
        <v>0.05</v>
      </c>
      <c r="M10" s="25">
        <f>IF('Check likelihoods'!M10="",Scale!$B$12,IFERROR(INDEX(Scale!$B$5:$B$10,MATCH('Check likelihoods'!M10,Scale!$A$5:$A$10,0)),Scale!$B$12))</f>
        <v>0.05</v>
      </c>
      <c r="N10" s="25">
        <f>IF('Check likelihoods'!N10="",Scale!$B$12,IFERROR(INDEX(Scale!$B$5:$B$10,MATCH('Check likelihoods'!N10,Scale!$A$5:$A$10,0)),Scale!$B$12))</f>
        <v>0.05</v>
      </c>
      <c r="O10" s="25">
        <f>IF('Check likelihoods'!O10="",Scale!$B$12,IFERROR(INDEX(Scale!$B$5:$B$10,MATCH('Check likelihoods'!O10,Scale!$A$5:$A$10,0)),Scale!$B$12))</f>
        <v>0.05</v>
      </c>
      <c r="P10" s="25">
        <f>IF('Check likelihoods'!P10="",Scale!$B$12,IFERROR(INDEX(Scale!$B$5:$B$10,MATCH('Check likelihoods'!P10,Scale!$A$5:$A$10,0)),Scale!$B$12))</f>
        <v>0.05</v>
      </c>
      <c r="Q10" s="25">
        <f>IF('Check likelihoods'!Q10="",Scale!$B$12,IFERROR(INDEX(Scale!$B$5:$B$10,MATCH('Check likelihoods'!Q10,Scale!$A$5:$A$10,0)),Scale!$B$12))</f>
        <v>0.05</v>
      </c>
      <c r="R10" s="25">
        <f>IF('Check likelihoods'!R10="",Scale!$B$12,IFERROR(INDEX(Scale!$B$5:$B$10,MATCH('Check likelihoods'!R10,Scale!$A$5:$A$10,0)),Scale!$B$12))</f>
        <v>0.05</v>
      </c>
      <c r="S10" s="25">
        <f>IF('Check likelihoods'!S10="",Scale!$B$12,IFERROR(INDEX(Scale!$B$5:$B$10,MATCH('Check likelihoods'!S10,Scale!$A$5:$A$10,0)),Scale!$B$12))</f>
        <v>0.05</v>
      </c>
      <c r="T10" s="25">
        <f>IF('Check likelihoods'!T10="",Scale!$B$12,IFERROR(INDEX(Scale!$B$5:$B$10,MATCH('Check likelihoods'!T10,Scale!$A$5:$A$10,0)),Scale!$B$12))</f>
        <v>0.05</v>
      </c>
      <c r="U10" s="25">
        <f>IF('Check likelihoods'!U10="",Scale!$B$12,IFERROR(INDEX(Scale!$B$5:$B$10,MATCH('Check likelihoods'!U10,Scale!$A$5:$A$10,0)),Scale!$B$12))</f>
        <v>0.05</v>
      </c>
      <c r="V10" s="25">
        <f>IF('Check likelihoods'!V10="",Scale!$B$12,IFERROR(INDEX(Scale!$B$5:$B$10,MATCH('Check likelihoods'!V10,Scale!$A$5:$A$10,0)),Scale!$B$12))</f>
        <v>0.05</v>
      </c>
      <c r="W10" s="25">
        <f>IF('Check likelihoods'!W10="",Scale!$B$12,IFERROR(INDEX(Scale!$B$5:$B$10,MATCH('Check likelihoods'!W10,Scale!$A$5:$A$10,0)),Scale!$B$12))</f>
        <v>0.05</v>
      </c>
    </row>
    <row r="11" spans="1:23" x14ac:dyDescent="0.45">
      <c r="A11" s="13" t="str">
        <f>'Check likelihoods'!A11</f>
        <v>C06</v>
      </c>
      <c r="B11" s="13" t="str">
        <f>'Check likelihoods'!B11</f>
        <v/>
      </c>
      <c r="C11" s="13" t="str">
        <f>'Check likelihoods'!C11</f>
        <v/>
      </c>
      <c r="D11" s="25">
        <f>IF('Check likelihoods'!D11="",Scale!$B$12,IFERROR(INDEX(Scale!$B$5:$B$10,MATCH('Check likelihoods'!D11,Scale!$A$5:$A$10,0)),Scale!$B$12))</f>
        <v>0.05</v>
      </c>
      <c r="E11" s="25">
        <f>IF('Check likelihoods'!E11="",Scale!$B$12,IFERROR(INDEX(Scale!$B$5:$B$10,MATCH('Check likelihoods'!E11,Scale!$A$5:$A$10,0)),Scale!$B$12))</f>
        <v>0.05</v>
      </c>
      <c r="F11" s="25">
        <f>IF('Check likelihoods'!F11="",Scale!$B$12,IFERROR(INDEX(Scale!$B$5:$B$10,MATCH('Check likelihoods'!F11,Scale!$A$5:$A$10,0)),Scale!$B$12))</f>
        <v>0.05</v>
      </c>
      <c r="G11" s="25">
        <f>IF('Check likelihoods'!G11="",Scale!$B$12,IFERROR(INDEX(Scale!$B$5:$B$10,MATCH('Check likelihoods'!G11,Scale!$A$5:$A$10,0)),Scale!$B$12))</f>
        <v>0.05</v>
      </c>
      <c r="H11" s="25">
        <f>IF('Check likelihoods'!H11="",Scale!$B$12,IFERROR(INDEX(Scale!$B$5:$B$10,MATCH('Check likelihoods'!H11,Scale!$A$5:$A$10,0)),Scale!$B$12))</f>
        <v>0.05</v>
      </c>
      <c r="I11" s="25">
        <f>IF('Check likelihoods'!I11="",Scale!$B$12,IFERROR(INDEX(Scale!$B$5:$B$10,MATCH('Check likelihoods'!I11,Scale!$A$5:$A$10,0)),Scale!$B$12))</f>
        <v>0.05</v>
      </c>
      <c r="J11" s="25">
        <f>IF('Check likelihoods'!J11="",Scale!$B$12,IFERROR(INDEX(Scale!$B$5:$B$10,MATCH('Check likelihoods'!J11,Scale!$A$5:$A$10,0)),Scale!$B$12))</f>
        <v>0.05</v>
      </c>
      <c r="K11" s="25">
        <f>IF('Check likelihoods'!K11="",Scale!$B$12,IFERROR(INDEX(Scale!$B$5:$B$10,MATCH('Check likelihoods'!K11,Scale!$A$5:$A$10,0)),Scale!$B$12))</f>
        <v>0.05</v>
      </c>
      <c r="L11" s="25">
        <f>IF('Check likelihoods'!L11="",Scale!$B$12,IFERROR(INDEX(Scale!$B$5:$B$10,MATCH('Check likelihoods'!L11,Scale!$A$5:$A$10,0)),Scale!$B$12))</f>
        <v>0.05</v>
      </c>
      <c r="M11" s="25">
        <f>IF('Check likelihoods'!M11="",Scale!$B$12,IFERROR(INDEX(Scale!$B$5:$B$10,MATCH('Check likelihoods'!M11,Scale!$A$5:$A$10,0)),Scale!$B$12))</f>
        <v>0.05</v>
      </c>
      <c r="N11" s="25">
        <f>IF('Check likelihoods'!N11="",Scale!$B$12,IFERROR(INDEX(Scale!$B$5:$B$10,MATCH('Check likelihoods'!N11,Scale!$A$5:$A$10,0)),Scale!$B$12))</f>
        <v>0.05</v>
      </c>
      <c r="O11" s="25">
        <f>IF('Check likelihoods'!O11="",Scale!$B$12,IFERROR(INDEX(Scale!$B$5:$B$10,MATCH('Check likelihoods'!O11,Scale!$A$5:$A$10,0)),Scale!$B$12))</f>
        <v>0.05</v>
      </c>
      <c r="P11" s="25">
        <f>IF('Check likelihoods'!P11="",Scale!$B$12,IFERROR(INDEX(Scale!$B$5:$B$10,MATCH('Check likelihoods'!P11,Scale!$A$5:$A$10,0)),Scale!$B$12))</f>
        <v>0.05</v>
      </c>
      <c r="Q11" s="25">
        <f>IF('Check likelihoods'!Q11="",Scale!$B$12,IFERROR(INDEX(Scale!$B$5:$B$10,MATCH('Check likelihoods'!Q11,Scale!$A$5:$A$10,0)),Scale!$B$12))</f>
        <v>0.05</v>
      </c>
      <c r="R11" s="25">
        <f>IF('Check likelihoods'!R11="",Scale!$B$12,IFERROR(INDEX(Scale!$B$5:$B$10,MATCH('Check likelihoods'!R11,Scale!$A$5:$A$10,0)),Scale!$B$12))</f>
        <v>0.05</v>
      </c>
      <c r="S11" s="25">
        <f>IF('Check likelihoods'!S11="",Scale!$B$12,IFERROR(INDEX(Scale!$B$5:$B$10,MATCH('Check likelihoods'!S11,Scale!$A$5:$A$10,0)),Scale!$B$12))</f>
        <v>0.05</v>
      </c>
      <c r="T11" s="25">
        <f>IF('Check likelihoods'!T11="",Scale!$B$12,IFERROR(INDEX(Scale!$B$5:$B$10,MATCH('Check likelihoods'!T11,Scale!$A$5:$A$10,0)),Scale!$B$12))</f>
        <v>0.05</v>
      </c>
      <c r="U11" s="25">
        <f>IF('Check likelihoods'!U11="",Scale!$B$12,IFERROR(INDEX(Scale!$B$5:$B$10,MATCH('Check likelihoods'!U11,Scale!$A$5:$A$10,0)),Scale!$B$12))</f>
        <v>0.05</v>
      </c>
      <c r="V11" s="25">
        <f>IF('Check likelihoods'!V11="",Scale!$B$12,IFERROR(INDEX(Scale!$B$5:$B$10,MATCH('Check likelihoods'!V11,Scale!$A$5:$A$10,0)),Scale!$B$12))</f>
        <v>0.05</v>
      </c>
      <c r="W11" s="25">
        <f>IF('Check likelihoods'!W11="",Scale!$B$12,IFERROR(INDEX(Scale!$B$5:$B$10,MATCH('Check likelihoods'!W11,Scale!$A$5:$A$10,0)),Scale!$B$12))</f>
        <v>0.05</v>
      </c>
    </row>
    <row r="12" spans="1:23" x14ac:dyDescent="0.45">
      <c r="A12" s="13" t="str">
        <f>'Check likelihoods'!A12</f>
        <v>C07</v>
      </c>
      <c r="B12" s="13" t="str">
        <f>'Check likelihoods'!B12</f>
        <v/>
      </c>
      <c r="C12" s="13" t="str">
        <f>'Check likelihoods'!C12</f>
        <v/>
      </c>
      <c r="D12" s="25">
        <f>IF('Check likelihoods'!D12="",Scale!$B$12,IFERROR(INDEX(Scale!$B$5:$B$10,MATCH('Check likelihoods'!D12,Scale!$A$5:$A$10,0)),Scale!$B$12))</f>
        <v>0.05</v>
      </c>
      <c r="E12" s="25">
        <f>IF('Check likelihoods'!E12="",Scale!$B$12,IFERROR(INDEX(Scale!$B$5:$B$10,MATCH('Check likelihoods'!E12,Scale!$A$5:$A$10,0)),Scale!$B$12))</f>
        <v>0.05</v>
      </c>
      <c r="F12" s="25">
        <f>IF('Check likelihoods'!F12="",Scale!$B$12,IFERROR(INDEX(Scale!$B$5:$B$10,MATCH('Check likelihoods'!F12,Scale!$A$5:$A$10,0)),Scale!$B$12))</f>
        <v>0.05</v>
      </c>
      <c r="G12" s="25">
        <f>IF('Check likelihoods'!G12="",Scale!$B$12,IFERROR(INDEX(Scale!$B$5:$B$10,MATCH('Check likelihoods'!G12,Scale!$A$5:$A$10,0)),Scale!$B$12))</f>
        <v>0.05</v>
      </c>
      <c r="H12" s="25">
        <f>IF('Check likelihoods'!H12="",Scale!$B$12,IFERROR(INDEX(Scale!$B$5:$B$10,MATCH('Check likelihoods'!H12,Scale!$A$5:$A$10,0)),Scale!$B$12))</f>
        <v>0.05</v>
      </c>
      <c r="I12" s="25">
        <f>IF('Check likelihoods'!I12="",Scale!$B$12,IFERROR(INDEX(Scale!$B$5:$B$10,MATCH('Check likelihoods'!I12,Scale!$A$5:$A$10,0)),Scale!$B$12))</f>
        <v>0.05</v>
      </c>
      <c r="J12" s="25">
        <f>IF('Check likelihoods'!J12="",Scale!$B$12,IFERROR(INDEX(Scale!$B$5:$B$10,MATCH('Check likelihoods'!J12,Scale!$A$5:$A$10,0)),Scale!$B$12))</f>
        <v>0.05</v>
      </c>
      <c r="K12" s="25">
        <f>IF('Check likelihoods'!K12="",Scale!$B$12,IFERROR(INDEX(Scale!$B$5:$B$10,MATCH('Check likelihoods'!K12,Scale!$A$5:$A$10,0)),Scale!$B$12))</f>
        <v>0.05</v>
      </c>
      <c r="L12" s="25">
        <f>IF('Check likelihoods'!L12="",Scale!$B$12,IFERROR(INDEX(Scale!$B$5:$B$10,MATCH('Check likelihoods'!L12,Scale!$A$5:$A$10,0)),Scale!$B$12))</f>
        <v>0.05</v>
      </c>
      <c r="M12" s="25">
        <f>IF('Check likelihoods'!M12="",Scale!$B$12,IFERROR(INDEX(Scale!$B$5:$B$10,MATCH('Check likelihoods'!M12,Scale!$A$5:$A$10,0)),Scale!$B$12))</f>
        <v>0.05</v>
      </c>
      <c r="N12" s="25">
        <f>IF('Check likelihoods'!N12="",Scale!$B$12,IFERROR(INDEX(Scale!$B$5:$B$10,MATCH('Check likelihoods'!N12,Scale!$A$5:$A$10,0)),Scale!$B$12))</f>
        <v>0.05</v>
      </c>
      <c r="O12" s="25">
        <f>IF('Check likelihoods'!O12="",Scale!$B$12,IFERROR(INDEX(Scale!$B$5:$B$10,MATCH('Check likelihoods'!O12,Scale!$A$5:$A$10,0)),Scale!$B$12))</f>
        <v>0.05</v>
      </c>
      <c r="P12" s="25">
        <f>IF('Check likelihoods'!P12="",Scale!$B$12,IFERROR(INDEX(Scale!$B$5:$B$10,MATCH('Check likelihoods'!P12,Scale!$A$5:$A$10,0)),Scale!$B$12))</f>
        <v>0.05</v>
      </c>
      <c r="Q12" s="25">
        <f>IF('Check likelihoods'!Q12="",Scale!$B$12,IFERROR(INDEX(Scale!$B$5:$B$10,MATCH('Check likelihoods'!Q12,Scale!$A$5:$A$10,0)),Scale!$B$12))</f>
        <v>0.05</v>
      </c>
      <c r="R12" s="25">
        <f>IF('Check likelihoods'!R12="",Scale!$B$12,IFERROR(INDEX(Scale!$B$5:$B$10,MATCH('Check likelihoods'!R12,Scale!$A$5:$A$10,0)),Scale!$B$12))</f>
        <v>0.05</v>
      </c>
      <c r="S12" s="25">
        <f>IF('Check likelihoods'!S12="",Scale!$B$12,IFERROR(INDEX(Scale!$B$5:$B$10,MATCH('Check likelihoods'!S12,Scale!$A$5:$A$10,0)),Scale!$B$12))</f>
        <v>0.05</v>
      </c>
      <c r="T12" s="25">
        <f>IF('Check likelihoods'!T12="",Scale!$B$12,IFERROR(INDEX(Scale!$B$5:$B$10,MATCH('Check likelihoods'!T12,Scale!$A$5:$A$10,0)),Scale!$B$12))</f>
        <v>0.05</v>
      </c>
      <c r="U12" s="25">
        <f>IF('Check likelihoods'!U12="",Scale!$B$12,IFERROR(INDEX(Scale!$B$5:$B$10,MATCH('Check likelihoods'!U12,Scale!$A$5:$A$10,0)),Scale!$B$12))</f>
        <v>0.05</v>
      </c>
      <c r="V12" s="25">
        <f>IF('Check likelihoods'!V12="",Scale!$B$12,IFERROR(INDEX(Scale!$B$5:$B$10,MATCH('Check likelihoods'!V12,Scale!$A$5:$A$10,0)),Scale!$B$12))</f>
        <v>0.05</v>
      </c>
      <c r="W12" s="25">
        <f>IF('Check likelihoods'!W12="",Scale!$B$12,IFERROR(INDEX(Scale!$B$5:$B$10,MATCH('Check likelihoods'!W12,Scale!$A$5:$A$10,0)),Scale!$B$12))</f>
        <v>0.05</v>
      </c>
    </row>
    <row r="13" spans="1:23" x14ac:dyDescent="0.45">
      <c r="A13" s="13" t="str">
        <f>'Check likelihoods'!A13</f>
        <v>C08</v>
      </c>
      <c r="B13" s="13" t="str">
        <f>'Check likelihoods'!B13</f>
        <v/>
      </c>
      <c r="C13" s="13" t="str">
        <f>'Check likelihoods'!C13</f>
        <v/>
      </c>
      <c r="D13" s="25">
        <f>IF('Check likelihoods'!D13="",Scale!$B$12,IFERROR(INDEX(Scale!$B$5:$B$10,MATCH('Check likelihoods'!D13,Scale!$A$5:$A$10,0)),Scale!$B$12))</f>
        <v>0.05</v>
      </c>
      <c r="E13" s="25">
        <f>IF('Check likelihoods'!E13="",Scale!$B$12,IFERROR(INDEX(Scale!$B$5:$B$10,MATCH('Check likelihoods'!E13,Scale!$A$5:$A$10,0)),Scale!$B$12))</f>
        <v>0.05</v>
      </c>
      <c r="F13" s="25">
        <f>IF('Check likelihoods'!F13="",Scale!$B$12,IFERROR(INDEX(Scale!$B$5:$B$10,MATCH('Check likelihoods'!F13,Scale!$A$5:$A$10,0)),Scale!$B$12))</f>
        <v>0.05</v>
      </c>
      <c r="G13" s="25">
        <f>IF('Check likelihoods'!G13="",Scale!$B$12,IFERROR(INDEX(Scale!$B$5:$B$10,MATCH('Check likelihoods'!G13,Scale!$A$5:$A$10,0)),Scale!$B$12))</f>
        <v>0.05</v>
      </c>
      <c r="H13" s="25">
        <f>IF('Check likelihoods'!H13="",Scale!$B$12,IFERROR(INDEX(Scale!$B$5:$B$10,MATCH('Check likelihoods'!H13,Scale!$A$5:$A$10,0)),Scale!$B$12))</f>
        <v>0.05</v>
      </c>
      <c r="I13" s="25">
        <f>IF('Check likelihoods'!I13="",Scale!$B$12,IFERROR(INDEX(Scale!$B$5:$B$10,MATCH('Check likelihoods'!I13,Scale!$A$5:$A$10,0)),Scale!$B$12))</f>
        <v>0.05</v>
      </c>
      <c r="J13" s="25">
        <f>IF('Check likelihoods'!J13="",Scale!$B$12,IFERROR(INDEX(Scale!$B$5:$B$10,MATCH('Check likelihoods'!J13,Scale!$A$5:$A$10,0)),Scale!$B$12))</f>
        <v>0.05</v>
      </c>
      <c r="K13" s="25">
        <f>IF('Check likelihoods'!K13="",Scale!$B$12,IFERROR(INDEX(Scale!$B$5:$B$10,MATCH('Check likelihoods'!K13,Scale!$A$5:$A$10,0)),Scale!$B$12))</f>
        <v>0.05</v>
      </c>
      <c r="L13" s="25">
        <f>IF('Check likelihoods'!L13="",Scale!$B$12,IFERROR(INDEX(Scale!$B$5:$B$10,MATCH('Check likelihoods'!L13,Scale!$A$5:$A$10,0)),Scale!$B$12))</f>
        <v>0.05</v>
      </c>
      <c r="M13" s="25">
        <f>IF('Check likelihoods'!M13="",Scale!$B$12,IFERROR(INDEX(Scale!$B$5:$B$10,MATCH('Check likelihoods'!M13,Scale!$A$5:$A$10,0)),Scale!$B$12))</f>
        <v>0.05</v>
      </c>
      <c r="N13" s="25">
        <f>IF('Check likelihoods'!N13="",Scale!$B$12,IFERROR(INDEX(Scale!$B$5:$B$10,MATCH('Check likelihoods'!N13,Scale!$A$5:$A$10,0)),Scale!$B$12))</f>
        <v>0.05</v>
      </c>
      <c r="O13" s="25">
        <f>IF('Check likelihoods'!O13="",Scale!$B$12,IFERROR(INDEX(Scale!$B$5:$B$10,MATCH('Check likelihoods'!O13,Scale!$A$5:$A$10,0)),Scale!$B$12))</f>
        <v>0.05</v>
      </c>
      <c r="P13" s="25">
        <f>IF('Check likelihoods'!P13="",Scale!$B$12,IFERROR(INDEX(Scale!$B$5:$B$10,MATCH('Check likelihoods'!P13,Scale!$A$5:$A$10,0)),Scale!$B$12))</f>
        <v>0.05</v>
      </c>
      <c r="Q13" s="25">
        <f>IF('Check likelihoods'!Q13="",Scale!$B$12,IFERROR(INDEX(Scale!$B$5:$B$10,MATCH('Check likelihoods'!Q13,Scale!$A$5:$A$10,0)),Scale!$B$12))</f>
        <v>0.05</v>
      </c>
      <c r="R13" s="25">
        <f>IF('Check likelihoods'!R13="",Scale!$B$12,IFERROR(INDEX(Scale!$B$5:$B$10,MATCH('Check likelihoods'!R13,Scale!$A$5:$A$10,0)),Scale!$B$12))</f>
        <v>0.05</v>
      </c>
      <c r="S13" s="25">
        <f>IF('Check likelihoods'!S13="",Scale!$B$12,IFERROR(INDEX(Scale!$B$5:$B$10,MATCH('Check likelihoods'!S13,Scale!$A$5:$A$10,0)),Scale!$B$12))</f>
        <v>0.05</v>
      </c>
      <c r="T13" s="25">
        <f>IF('Check likelihoods'!T13="",Scale!$B$12,IFERROR(INDEX(Scale!$B$5:$B$10,MATCH('Check likelihoods'!T13,Scale!$A$5:$A$10,0)),Scale!$B$12))</f>
        <v>0.05</v>
      </c>
      <c r="U13" s="25">
        <f>IF('Check likelihoods'!U13="",Scale!$B$12,IFERROR(INDEX(Scale!$B$5:$B$10,MATCH('Check likelihoods'!U13,Scale!$A$5:$A$10,0)),Scale!$B$12))</f>
        <v>0.05</v>
      </c>
      <c r="V13" s="25">
        <f>IF('Check likelihoods'!V13="",Scale!$B$12,IFERROR(INDEX(Scale!$B$5:$B$10,MATCH('Check likelihoods'!V13,Scale!$A$5:$A$10,0)),Scale!$B$12))</f>
        <v>0.05</v>
      </c>
      <c r="W13" s="25">
        <f>IF('Check likelihoods'!W13="",Scale!$B$12,IFERROR(INDEX(Scale!$B$5:$B$10,MATCH('Check likelihoods'!W13,Scale!$A$5:$A$10,0)),Scale!$B$12))</f>
        <v>0.05</v>
      </c>
    </row>
    <row r="14" spans="1:23" x14ac:dyDescent="0.45">
      <c r="A14" s="13" t="str">
        <f>'Check likelihoods'!A14</f>
        <v>C09</v>
      </c>
      <c r="B14" s="13" t="str">
        <f>'Check likelihoods'!B14</f>
        <v/>
      </c>
      <c r="C14" s="13" t="str">
        <f>'Check likelihoods'!C14</f>
        <v/>
      </c>
      <c r="D14" s="25">
        <f>IF('Check likelihoods'!D14="",Scale!$B$12,IFERROR(INDEX(Scale!$B$5:$B$10,MATCH('Check likelihoods'!D14,Scale!$A$5:$A$10,0)),Scale!$B$12))</f>
        <v>0.05</v>
      </c>
      <c r="E14" s="25">
        <f>IF('Check likelihoods'!E14="",Scale!$B$12,IFERROR(INDEX(Scale!$B$5:$B$10,MATCH('Check likelihoods'!E14,Scale!$A$5:$A$10,0)),Scale!$B$12))</f>
        <v>0.05</v>
      </c>
      <c r="F14" s="25">
        <f>IF('Check likelihoods'!F14="",Scale!$B$12,IFERROR(INDEX(Scale!$B$5:$B$10,MATCH('Check likelihoods'!F14,Scale!$A$5:$A$10,0)),Scale!$B$12))</f>
        <v>0.05</v>
      </c>
      <c r="G14" s="25">
        <f>IF('Check likelihoods'!G14="",Scale!$B$12,IFERROR(INDEX(Scale!$B$5:$B$10,MATCH('Check likelihoods'!G14,Scale!$A$5:$A$10,0)),Scale!$B$12))</f>
        <v>0.05</v>
      </c>
      <c r="H14" s="25">
        <f>IF('Check likelihoods'!H14="",Scale!$B$12,IFERROR(INDEX(Scale!$B$5:$B$10,MATCH('Check likelihoods'!H14,Scale!$A$5:$A$10,0)),Scale!$B$12))</f>
        <v>0.05</v>
      </c>
      <c r="I14" s="25">
        <f>IF('Check likelihoods'!I14="",Scale!$B$12,IFERROR(INDEX(Scale!$B$5:$B$10,MATCH('Check likelihoods'!I14,Scale!$A$5:$A$10,0)),Scale!$B$12))</f>
        <v>0.05</v>
      </c>
      <c r="J14" s="25">
        <f>IF('Check likelihoods'!J14="",Scale!$B$12,IFERROR(INDEX(Scale!$B$5:$B$10,MATCH('Check likelihoods'!J14,Scale!$A$5:$A$10,0)),Scale!$B$12))</f>
        <v>0.05</v>
      </c>
      <c r="K14" s="25">
        <f>IF('Check likelihoods'!K14="",Scale!$B$12,IFERROR(INDEX(Scale!$B$5:$B$10,MATCH('Check likelihoods'!K14,Scale!$A$5:$A$10,0)),Scale!$B$12))</f>
        <v>0.05</v>
      </c>
      <c r="L14" s="25">
        <f>IF('Check likelihoods'!L14="",Scale!$B$12,IFERROR(INDEX(Scale!$B$5:$B$10,MATCH('Check likelihoods'!L14,Scale!$A$5:$A$10,0)),Scale!$B$12))</f>
        <v>0.05</v>
      </c>
      <c r="M14" s="25">
        <f>IF('Check likelihoods'!M14="",Scale!$B$12,IFERROR(INDEX(Scale!$B$5:$B$10,MATCH('Check likelihoods'!M14,Scale!$A$5:$A$10,0)),Scale!$B$12))</f>
        <v>0.05</v>
      </c>
      <c r="N14" s="25">
        <f>IF('Check likelihoods'!N14="",Scale!$B$12,IFERROR(INDEX(Scale!$B$5:$B$10,MATCH('Check likelihoods'!N14,Scale!$A$5:$A$10,0)),Scale!$B$12))</f>
        <v>0.05</v>
      </c>
      <c r="O14" s="25">
        <f>IF('Check likelihoods'!O14="",Scale!$B$12,IFERROR(INDEX(Scale!$B$5:$B$10,MATCH('Check likelihoods'!O14,Scale!$A$5:$A$10,0)),Scale!$B$12))</f>
        <v>0.05</v>
      </c>
      <c r="P14" s="25">
        <f>IF('Check likelihoods'!P14="",Scale!$B$12,IFERROR(INDEX(Scale!$B$5:$B$10,MATCH('Check likelihoods'!P14,Scale!$A$5:$A$10,0)),Scale!$B$12))</f>
        <v>0.05</v>
      </c>
      <c r="Q14" s="25">
        <f>IF('Check likelihoods'!Q14="",Scale!$B$12,IFERROR(INDEX(Scale!$B$5:$B$10,MATCH('Check likelihoods'!Q14,Scale!$A$5:$A$10,0)),Scale!$B$12))</f>
        <v>0.05</v>
      </c>
      <c r="R14" s="25">
        <f>IF('Check likelihoods'!R14="",Scale!$B$12,IFERROR(INDEX(Scale!$B$5:$B$10,MATCH('Check likelihoods'!R14,Scale!$A$5:$A$10,0)),Scale!$B$12))</f>
        <v>0.05</v>
      </c>
      <c r="S14" s="25">
        <f>IF('Check likelihoods'!S14="",Scale!$B$12,IFERROR(INDEX(Scale!$B$5:$B$10,MATCH('Check likelihoods'!S14,Scale!$A$5:$A$10,0)),Scale!$B$12))</f>
        <v>0.05</v>
      </c>
      <c r="T14" s="25">
        <f>IF('Check likelihoods'!T14="",Scale!$B$12,IFERROR(INDEX(Scale!$B$5:$B$10,MATCH('Check likelihoods'!T14,Scale!$A$5:$A$10,0)),Scale!$B$12))</f>
        <v>0.05</v>
      </c>
      <c r="U14" s="25">
        <f>IF('Check likelihoods'!U14="",Scale!$B$12,IFERROR(INDEX(Scale!$B$5:$B$10,MATCH('Check likelihoods'!U14,Scale!$A$5:$A$10,0)),Scale!$B$12))</f>
        <v>0.05</v>
      </c>
      <c r="V14" s="25">
        <f>IF('Check likelihoods'!V14="",Scale!$B$12,IFERROR(INDEX(Scale!$B$5:$B$10,MATCH('Check likelihoods'!V14,Scale!$A$5:$A$10,0)),Scale!$B$12))</f>
        <v>0.05</v>
      </c>
      <c r="W14" s="25">
        <f>IF('Check likelihoods'!W14="",Scale!$B$12,IFERROR(INDEX(Scale!$B$5:$B$10,MATCH('Check likelihoods'!W14,Scale!$A$5:$A$10,0)),Scale!$B$12))</f>
        <v>0.05</v>
      </c>
    </row>
    <row r="15" spans="1:23" x14ac:dyDescent="0.45">
      <c r="A15" s="13" t="str">
        <f>'Check likelihoods'!A15</f>
        <v>C10</v>
      </c>
      <c r="B15" s="13" t="str">
        <f>'Check likelihoods'!B15</f>
        <v/>
      </c>
      <c r="C15" s="13" t="str">
        <f>'Check likelihoods'!C15</f>
        <v/>
      </c>
      <c r="D15" s="25">
        <f>IF('Check likelihoods'!D15="",Scale!$B$12,IFERROR(INDEX(Scale!$B$5:$B$10,MATCH('Check likelihoods'!D15,Scale!$A$5:$A$10,0)),Scale!$B$12))</f>
        <v>0.05</v>
      </c>
      <c r="E15" s="25">
        <f>IF('Check likelihoods'!E15="",Scale!$B$12,IFERROR(INDEX(Scale!$B$5:$B$10,MATCH('Check likelihoods'!E15,Scale!$A$5:$A$10,0)),Scale!$B$12))</f>
        <v>0.05</v>
      </c>
      <c r="F15" s="25">
        <f>IF('Check likelihoods'!F15="",Scale!$B$12,IFERROR(INDEX(Scale!$B$5:$B$10,MATCH('Check likelihoods'!F15,Scale!$A$5:$A$10,0)),Scale!$B$12))</f>
        <v>0.05</v>
      </c>
      <c r="G15" s="25">
        <f>IF('Check likelihoods'!G15="",Scale!$B$12,IFERROR(INDEX(Scale!$B$5:$B$10,MATCH('Check likelihoods'!G15,Scale!$A$5:$A$10,0)),Scale!$B$12))</f>
        <v>0.05</v>
      </c>
      <c r="H15" s="25">
        <f>IF('Check likelihoods'!H15="",Scale!$B$12,IFERROR(INDEX(Scale!$B$5:$B$10,MATCH('Check likelihoods'!H15,Scale!$A$5:$A$10,0)),Scale!$B$12))</f>
        <v>0.05</v>
      </c>
      <c r="I15" s="25">
        <f>IF('Check likelihoods'!I15="",Scale!$B$12,IFERROR(INDEX(Scale!$B$5:$B$10,MATCH('Check likelihoods'!I15,Scale!$A$5:$A$10,0)),Scale!$B$12))</f>
        <v>0.05</v>
      </c>
      <c r="J15" s="25">
        <f>IF('Check likelihoods'!J15="",Scale!$B$12,IFERROR(INDEX(Scale!$B$5:$B$10,MATCH('Check likelihoods'!J15,Scale!$A$5:$A$10,0)),Scale!$B$12))</f>
        <v>0.05</v>
      </c>
      <c r="K15" s="25">
        <f>IF('Check likelihoods'!K15="",Scale!$B$12,IFERROR(INDEX(Scale!$B$5:$B$10,MATCH('Check likelihoods'!K15,Scale!$A$5:$A$10,0)),Scale!$B$12))</f>
        <v>0.05</v>
      </c>
      <c r="L15" s="25">
        <f>IF('Check likelihoods'!L15="",Scale!$B$12,IFERROR(INDEX(Scale!$B$5:$B$10,MATCH('Check likelihoods'!L15,Scale!$A$5:$A$10,0)),Scale!$B$12))</f>
        <v>0.05</v>
      </c>
      <c r="M15" s="25">
        <f>IF('Check likelihoods'!M15="",Scale!$B$12,IFERROR(INDEX(Scale!$B$5:$B$10,MATCH('Check likelihoods'!M15,Scale!$A$5:$A$10,0)),Scale!$B$12))</f>
        <v>0.05</v>
      </c>
      <c r="N15" s="25">
        <f>IF('Check likelihoods'!N15="",Scale!$B$12,IFERROR(INDEX(Scale!$B$5:$B$10,MATCH('Check likelihoods'!N15,Scale!$A$5:$A$10,0)),Scale!$B$12))</f>
        <v>0.05</v>
      </c>
      <c r="O15" s="25">
        <f>IF('Check likelihoods'!O15="",Scale!$B$12,IFERROR(INDEX(Scale!$B$5:$B$10,MATCH('Check likelihoods'!O15,Scale!$A$5:$A$10,0)),Scale!$B$12))</f>
        <v>0.05</v>
      </c>
      <c r="P15" s="25">
        <f>IF('Check likelihoods'!P15="",Scale!$B$12,IFERROR(INDEX(Scale!$B$5:$B$10,MATCH('Check likelihoods'!P15,Scale!$A$5:$A$10,0)),Scale!$B$12))</f>
        <v>0.05</v>
      </c>
      <c r="Q15" s="25">
        <f>IF('Check likelihoods'!Q15="",Scale!$B$12,IFERROR(INDEX(Scale!$B$5:$B$10,MATCH('Check likelihoods'!Q15,Scale!$A$5:$A$10,0)),Scale!$B$12))</f>
        <v>0.05</v>
      </c>
      <c r="R15" s="25">
        <f>IF('Check likelihoods'!R15="",Scale!$B$12,IFERROR(INDEX(Scale!$B$5:$B$10,MATCH('Check likelihoods'!R15,Scale!$A$5:$A$10,0)),Scale!$B$12))</f>
        <v>0.05</v>
      </c>
      <c r="S15" s="25">
        <f>IF('Check likelihoods'!S15="",Scale!$B$12,IFERROR(INDEX(Scale!$B$5:$B$10,MATCH('Check likelihoods'!S15,Scale!$A$5:$A$10,0)),Scale!$B$12))</f>
        <v>0.05</v>
      </c>
      <c r="T15" s="25">
        <f>IF('Check likelihoods'!T15="",Scale!$B$12,IFERROR(INDEX(Scale!$B$5:$B$10,MATCH('Check likelihoods'!T15,Scale!$A$5:$A$10,0)),Scale!$B$12))</f>
        <v>0.05</v>
      </c>
      <c r="U15" s="25">
        <f>IF('Check likelihoods'!U15="",Scale!$B$12,IFERROR(INDEX(Scale!$B$5:$B$10,MATCH('Check likelihoods'!U15,Scale!$A$5:$A$10,0)),Scale!$B$12))</f>
        <v>0.05</v>
      </c>
      <c r="V15" s="25">
        <f>IF('Check likelihoods'!V15="",Scale!$B$12,IFERROR(INDEX(Scale!$B$5:$B$10,MATCH('Check likelihoods'!V15,Scale!$A$5:$A$10,0)),Scale!$B$12))</f>
        <v>0.05</v>
      </c>
      <c r="W15" s="25">
        <f>IF('Check likelihoods'!W15="",Scale!$B$12,IFERROR(INDEX(Scale!$B$5:$B$10,MATCH('Check likelihoods'!W15,Scale!$A$5:$A$10,0)),Scale!$B$12))</f>
        <v>0.05</v>
      </c>
    </row>
    <row r="16" spans="1:23" x14ac:dyDescent="0.45">
      <c r="A16" s="13" t="str">
        <f>'Check likelihoods'!A16</f>
        <v>C11</v>
      </c>
      <c r="B16" s="13" t="str">
        <f>'Check likelihoods'!B16</f>
        <v/>
      </c>
      <c r="C16" s="13" t="str">
        <f>'Check likelihoods'!C16</f>
        <v/>
      </c>
      <c r="D16" s="25">
        <f>IF('Check likelihoods'!D16="",Scale!$B$12,IFERROR(INDEX(Scale!$B$5:$B$10,MATCH('Check likelihoods'!D16,Scale!$A$5:$A$10,0)),Scale!$B$12))</f>
        <v>0.05</v>
      </c>
      <c r="E16" s="25">
        <f>IF('Check likelihoods'!E16="",Scale!$B$12,IFERROR(INDEX(Scale!$B$5:$B$10,MATCH('Check likelihoods'!E16,Scale!$A$5:$A$10,0)),Scale!$B$12))</f>
        <v>0.05</v>
      </c>
      <c r="F16" s="25">
        <f>IF('Check likelihoods'!F16="",Scale!$B$12,IFERROR(INDEX(Scale!$B$5:$B$10,MATCH('Check likelihoods'!F16,Scale!$A$5:$A$10,0)),Scale!$B$12))</f>
        <v>0.05</v>
      </c>
      <c r="G16" s="25">
        <f>IF('Check likelihoods'!G16="",Scale!$B$12,IFERROR(INDEX(Scale!$B$5:$B$10,MATCH('Check likelihoods'!G16,Scale!$A$5:$A$10,0)),Scale!$B$12))</f>
        <v>0.05</v>
      </c>
      <c r="H16" s="25">
        <f>IF('Check likelihoods'!H16="",Scale!$B$12,IFERROR(INDEX(Scale!$B$5:$B$10,MATCH('Check likelihoods'!H16,Scale!$A$5:$A$10,0)),Scale!$B$12))</f>
        <v>0.05</v>
      </c>
      <c r="I16" s="25">
        <f>IF('Check likelihoods'!I16="",Scale!$B$12,IFERROR(INDEX(Scale!$B$5:$B$10,MATCH('Check likelihoods'!I16,Scale!$A$5:$A$10,0)),Scale!$B$12))</f>
        <v>0.05</v>
      </c>
      <c r="J16" s="25">
        <f>IF('Check likelihoods'!J16="",Scale!$B$12,IFERROR(INDEX(Scale!$B$5:$B$10,MATCH('Check likelihoods'!J16,Scale!$A$5:$A$10,0)),Scale!$B$12))</f>
        <v>0.05</v>
      </c>
      <c r="K16" s="25">
        <f>IF('Check likelihoods'!K16="",Scale!$B$12,IFERROR(INDEX(Scale!$B$5:$B$10,MATCH('Check likelihoods'!K16,Scale!$A$5:$A$10,0)),Scale!$B$12))</f>
        <v>0.05</v>
      </c>
      <c r="L16" s="25">
        <f>IF('Check likelihoods'!L16="",Scale!$B$12,IFERROR(INDEX(Scale!$B$5:$B$10,MATCH('Check likelihoods'!L16,Scale!$A$5:$A$10,0)),Scale!$B$12))</f>
        <v>0.05</v>
      </c>
      <c r="M16" s="25">
        <f>IF('Check likelihoods'!M16="",Scale!$B$12,IFERROR(INDEX(Scale!$B$5:$B$10,MATCH('Check likelihoods'!M16,Scale!$A$5:$A$10,0)),Scale!$B$12))</f>
        <v>0.05</v>
      </c>
      <c r="N16" s="25">
        <f>IF('Check likelihoods'!N16="",Scale!$B$12,IFERROR(INDEX(Scale!$B$5:$B$10,MATCH('Check likelihoods'!N16,Scale!$A$5:$A$10,0)),Scale!$B$12))</f>
        <v>0.05</v>
      </c>
      <c r="O16" s="25">
        <f>IF('Check likelihoods'!O16="",Scale!$B$12,IFERROR(INDEX(Scale!$B$5:$B$10,MATCH('Check likelihoods'!O16,Scale!$A$5:$A$10,0)),Scale!$B$12))</f>
        <v>0.05</v>
      </c>
      <c r="P16" s="25">
        <f>IF('Check likelihoods'!P16="",Scale!$B$12,IFERROR(INDEX(Scale!$B$5:$B$10,MATCH('Check likelihoods'!P16,Scale!$A$5:$A$10,0)),Scale!$B$12))</f>
        <v>0.05</v>
      </c>
      <c r="Q16" s="25">
        <f>IF('Check likelihoods'!Q16="",Scale!$B$12,IFERROR(INDEX(Scale!$B$5:$B$10,MATCH('Check likelihoods'!Q16,Scale!$A$5:$A$10,0)),Scale!$B$12))</f>
        <v>0.05</v>
      </c>
      <c r="R16" s="25">
        <f>IF('Check likelihoods'!R16="",Scale!$B$12,IFERROR(INDEX(Scale!$B$5:$B$10,MATCH('Check likelihoods'!R16,Scale!$A$5:$A$10,0)),Scale!$B$12))</f>
        <v>0.05</v>
      </c>
      <c r="S16" s="25">
        <f>IF('Check likelihoods'!S16="",Scale!$B$12,IFERROR(INDEX(Scale!$B$5:$B$10,MATCH('Check likelihoods'!S16,Scale!$A$5:$A$10,0)),Scale!$B$12))</f>
        <v>0.05</v>
      </c>
      <c r="T16" s="25">
        <f>IF('Check likelihoods'!T16="",Scale!$B$12,IFERROR(INDEX(Scale!$B$5:$B$10,MATCH('Check likelihoods'!T16,Scale!$A$5:$A$10,0)),Scale!$B$12))</f>
        <v>0.05</v>
      </c>
      <c r="U16" s="25">
        <f>IF('Check likelihoods'!U16="",Scale!$B$12,IFERROR(INDEX(Scale!$B$5:$B$10,MATCH('Check likelihoods'!U16,Scale!$A$5:$A$10,0)),Scale!$B$12))</f>
        <v>0.05</v>
      </c>
      <c r="V16" s="25">
        <f>IF('Check likelihoods'!V16="",Scale!$B$12,IFERROR(INDEX(Scale!$B$5:$B$10,MATCH('Check likelihoods'!V16,Scale!$A$5:$A$10,0)),Scale!$B$12))</f>
        <v>0.05</v>
      </c>
      <c r="W16" s="25">
        <f>IF('Check likelihoods'!W16="",Scale!$B$12,IFERROR(INDEX(Scale!$B$5:$B$10,MATCH('Check likelihoods'!W16,Scale!$A$5:$A$10,0)),Scale!$B$12))</f>
        <v>0.05</v>
      </c>
    </row>
    <row r="17" spans="1:23" x14ac:dyDescent="0.45">
      <c r="A17" s="13" t="str">
        <f>'Check likelihoods'!A17</f>
        <v>C12</v>
      </c>
      <c r="B17" s="13" t="str">
        <f>'Check likelihoods'!B17</f>
        <v/>
      </c>
      <c r="C17" s="13" t="str">
        <f>'Check likelihoods'!C17</f>
        <v/>
      </c>
      <c r="D17" s="25">
        <f>IF('Check likelihoods'!D17="",Scale!$B$12,IFERROR(INDEX(Scale!$B$5:$B$10,MATCH('Check likelihoods'!D17,Scale!$A$5:$A$10,0)),Scale!$B$12))</f>
        <v>0.05</v>
      </c>
      <c r="E17" s="25">
        <f>IF('Check likelihoods'!E17="",Scale!$B$12,IFERROR(INDEX(Scale!$B$5:$B$10,MATCH('Check likelihoods'!E17,Scale!$A$5:$A$10,0)),Scale!$B$12))</f>
        <v>0.05</v>
      </c>
      <c r="F17" s="25">
        <f>IF('Check likelihoods'!F17="",Scale!$B$12,IFERROR(INDEX(Scale!$B$5:$B$10,MATCH('Check likelihoods'!F17,Scale!$A$5:$A$10,0)),Scale!$B$12))</f>
        <v>0.05</v>
      </c>
      <c r="G17" s="25">
        <f>IF('Check likelihoods'!G17="",Scale!$B$12,IFERROR(INDEX(Scale!$B$5:$B$10,MATCH('Check likelihoods'!G17,Scale!$A$5:$A$10,0)),Scale!$B$12))</f>
        <v>0.05</v>
      </c>
      <c r="H17" s="25">
        <f>IF('Check likelihoods'!H17="",Scale!$B$12,IFERROR(INDEX(Scale!$B$5:$B$10,MATCH('Check likelihoods'!H17,Scale!$A$5:$A$10,0)),Scale!$B$12))</f>
        <v>0.05</v>
      </c>
      <c r="I17" s="25">
        <f>IF('Check likelihoods'!I17="",Scale!$B$12,IFERROR(INDEX(Scale!$B$5:$B$10,MATCH('Check likelihoods'!I17,Scale!$A$5:$A$10,0)),Scale!$B$12))</f>
        <v>0.05</v>
      </c>
      <c r="J17" s="25">
        <f>IF('Check likelihoods'!J17="",Scale!$B$12,IFERROR(INDEX(Scale!$B$5:$B$10,MATCH('Check likelihoods'!J17,Scale!$A$5:$A$10,0)),Scale!$B$12))</f>
        <v>0.05</v>
      </c>
      <c r="K17" s="25">
        <f>IF('Check likelihoods'!K17="",Scale!$B$12,IFERROR(INDEX(Scale!$B$5:$B$10,MATCH('Check likelihoods'!K17,Scale!$A$5:$A$10,0)),Scale!$B$12))</f>
        <v>0.05</v>
      </c>
      <c r="L17" s="25">
        <f>IF('Check likelihoods'!L17="",Scale!$B$12,IFERROR(INDEX(Scale!$B$5:$B$10,MATCH('Check likelihoods'!L17,Scale!$A$5:$A$10,0)),Scale!$B$12))</f>
        <v>0.05</v>
      </c>
      <c r="M17" s="25">
        <f>IF('Check likelihoods'!M17="",Scale!$B$12,IFERROR(INDEX(Scale!$B$5:$B$10,MATCH('Check likelihoods'!M17,Scale!$A$5:$A$10,0)),Scale!$B$12))</f>
        <v>0.05</v>
      </c>
      <c r="N17" s="25">
        <f>IF('Check likelihoods'!N17="",Scale!$B$12,IFERROR(INDEX(Scale!$B$5:$B$10,MATCH('Check likelihoods'!N17,Scale!$A$5:$A$10,0)),Scale!$B$12))</f>
        <v>0.05</v>
      </c>
      <c r="O17" s="25">
        <f>IF('Check likelihoods'!O17="",Scale!$B$12,IFERROR(INDEX(Scale!$B$5:$B$10,MATCH('Check likelihoods'!O17,Scale!$A$5:$A$10,0)),Scale!$B$12))</f>
        <v>0.05</v>
      </c>
      <c r="P17" s="25">
        <f>IF('Check likelihoods'!P17="",Scale!$B$12,IFERROR(INDEX(Scale!$B$5:$B$10,MATCH('Check likelihoods'!P17,Scale!$A$5:$A$10,0)),Scale!$B$12))</f>
        <v>0.05</v>
      </c>
      <c r="Q17" s="25">
        <f>IF('Check likelihoods'!Q17="",Scale!$B$12,IFERROR(INDEX(Scale!$B$5:$B$10,MATCH('Check likelihoods'!Q17,Scale!$A$5:$A$10,0)),Scale!$B$12))</f>
        <v>0.05</v>
      </c>
      <c r="R17" s="25">
        <f>IF('Check likelihoods'!R17="",Scale!$B$12,IFERROR(INDEX(Scale!$B$5:$B$10,MATCH('Check likelihoods'!R17,Scale!$A$5:$A$10,0)),Scale!$B$12))</f>
        <v>0.05</v>
      </c>
      <c r="S17" s="25">
        <f>IF('Check likelihoods'!S17="",Scale!$B$12,IFERROR(INDEX(Scale!$B$5:$B$10,MATCH('Check likelihoods'!S17,Scale!$A$5:$A$10,0)),Scale!$B$12))</f>
        <v>0.05</v>
      </c>
      <c r="T17" s="25">
        <f>IF('Check likelihoods'!T17="",Scale!$B$12,IFERROR(INDEX(Scale!$B$5:$B$10,MATCH('Check likelihoods'!T17,Scale!$A$5:$A$10,0)),Scale!$B$12))</f>
        <v>0.05</v>
      </c>
      <c r="U17" s="25">
        <f>IF('Check likelihoods'!U17="",Scale!$B$12,IFERROR(INDEX(Scale!$B$5:$B$10,MATCH('Check likelihoods'!U17,Scale!$A$5:$A$10,0)),Scale!$B$12))</f>
        <v>0.05</v>
      </c>
      <c r="V17" s="25">
        <f>IF('Check likelihoods'!V17="",Scale!$B$12,IFERROR(INDEX(Scale!$B$5:$B$10,MATCH('Check likelihoods'!V17,Scale!$A$5:$A$10,0)),Scale!$B$12))</f>
        <v>0.05</v>
      </c>
      <c r="W17" s="25">
        <f>IF('Check likelihoods'!W17="",Scale!$B$12,IFERROR(INDEX(Scale!$B$5:$B$10,MATCH('Check likelihoods'!W17,Scale!$A$5:$A$10,0)),Scale!$B$12))</f>
        <v>0.05</v>
      </c>
    </row>
    <row r="18" spans="1:23" x14ac:dyDescent="0.45">
      <c r="A18" s="13" t="str">
        <f>'Check likelihoods'!A18</f>
        <v>C13</v>
      </c>
      <c r="B18" s="13" t="str">
        <f>'Check likelihoods'!B18</f>
        <v/>
      </c>
      <c r="C18" s="13" t="str">
        <f>'Check likelihoods'!C18</f>
        <v/>
      </c>
      <c r="D18" s="25">
        <f>IF('Check likelihoods'!D18="",Scale!$B$12,IFERROR(INDEX(Scale!$B$5:$B$10,MATCH('Check likelihoods'!D18,Scale!$A$5:$A$10,0)),Scale!$B$12))</f>
        <v>0.05</v>
      </c>
      <c r="E18" s="25">
        <f>IF('Check likelihoods'!E18="",Scale!$B$12,IFERROR(INDEX(Scale!$B$5:$B$10,MATCH('Check likelihoods'!E18,Scale!$A$5:$A$10,0)),Scale!$B$12))</f>
        <v>0.05</v>
      </c>
      <c r="F18" s="25">
        <f>IF('Check likelihoods'!F18="",Scale!$B$12,IFERROR(INDEX(Scale!$B$5:$B$10,MATCH('Check likelihoods'!F18,Scale!$A$5:$A$10,0)),Scale!$B$12))</f>
        <v>0.05</v>
      </c>
      <c r="G18" s="25">
        <f>IF('Check likelihoods'!G18="",Scale!$B$12,IFERROR(INDEX(Scale!$B$5:$B$10,MATCH('Check likelihoods'!G18,Scale!$A$5:$A$10,0)),Scale!$B$12))</f>
        <v>0.05</v>
      </c>
      <c r="H18" s="25">
        <f>IF('Check likelihoods'!H18="",Scale!$B$12,IFERROR(INDEX(Scale!$B$5:$B$10,MATCH('Check likelihoods'!H18,Scale!$A$5:$A$10,0)),Scale!$B$12))</f>
        <v>0.05</v>
      </c>
      <c r="I18" s="25">
        <f>IF('Check likelihoods'!I18="",Scale!$B$12,IFERROR(INDEX(Scale!$B$5:$B$10,MATCH('Check likelihoods'!I18,Scale!$A$5:$A$10,0)),Scale!$B$12))</f>
        <v>0.05</v>
      </c>
      <c r="J18" s="25">
        <f>IF('Check likelihoods'!J18="",Scale!$B$12,IFERROR(INDEX(Scale!$B$5:$B$10,MATCH('Check likelihoods'!J18,Scale!$A$5:$A$10,0)),Scale!$B$12))</f>
        <v>0.05</v>
      </c>
      <c r="K18" s="25">
        <f>IF('Check likelihoods'!K18="",Scale!$B$12,IFERROR(INDEX(Scale!$B$5:$B$10,MATCH('Check likelihoods'!K18,Scale!$A$5:$A$10,0)),Scale!$B$12))</f>
        <v>0.05</v>
      </c>
      <c r="L18" s="25">
        <f>IF('Check likelihoods'!L18="",Scale!$B$12,IFERROR(INDEX(Scale!$B$5:$B$10,MATCH('Check likelihoods'!L18,Scale!$A$5:$A$10,0)),Scale!$B$12))</f>
        <v>0.05</v>
      </c>
      <c r="M18" s="25">
        <f>IF('Check likelihoods'!M18="",Scale!$B$12,IFERROR(INDEX(Scale!$B$5:$B$10,MATCH('Check likelihoods'!M18,Scale!$A$5:$A$10,0)),Scale!$B$12))</f>
        <v>0.05</v>
      </c>
      <c r="N18" s="25">
        <f>IF('Check likelihoods'!N18="",Scale!$B$12,IFERROR(INDEX(Scale!$B$5:$B$10,MATCH('Check likelihoods'!N18,Scale!$A$5:$A$10,0)),Scale!$B$12))</f>
        <v>0.05</v>
      </c>
      <c r="O18" s="25">
        <f>IF('Check likelihoods'!O18="",Scale!$B$12,IFERROR(INDEX(Scale!$B$5:$B$10,MATCH('Check likelihoods'!O18,Scale!$A$5:$A$10,0)),Scale!$B$12))</f>
        <v>0.05</v>
      </c>
      <c r="P18" s="25">
        <f>IF('Check likelihoods'!P18="",Scale!$B$12,IFERROR(INDEX(Scale!$B$5:$B$10,MATCH('Check likelihoods'!P18,Scale!$A$5:$A$10,0)),Scale!$B$12))</f>
        <v>0.05</v>
      </c>
      <c r="Q18" s="25">
        <f>IF('Check likelihoods'!Q18="",Scale!$B$12,IFERROR(INDEX(Scale!$B$5:$B$10,MATCH('Check likelihoods'!Q18,Scale!$A$5:$A$10,0)),Scale!$B$12))</f>
        <v>0.05</v>
      </c>
      <c r="R18" s="25">
        <f>IF('Check likelihoods'!R18="",Scale!$B$12,IFERROR(INDEX(Scale!$B$5:$B$10,MATCH('Check likelihoods'!R18,Scale!$A$5:$A$10,0)),Scale!$B$12))</f>
        <v>0.05</v>
      </c>
      <c r="S18" s="25">
        <f>IF('Check likelihoods'!S18="",Scale!$B$12,IFERROR(INDEX(Scale!$B$5:$B$10,MATCH('Check likelihoods'!S18,Scale!$A$5:$A$10,0)),Scale!$B$12))</f>
        <v>0.05</v>
      </c>
      <c r="T18" s="25">
        <f>IF('Check likelihoods'!T18="",Scale!$B$12,IFERROR(INDEX(Scale!$B$5:$B$10,MATCH('Check likelihoods'!T18,Scale!$A$5:$A$10,0)),Scale!$B$12))</f>
        <v>0.05</v>
      </c>
      <c r="U18" s="25">
        <f>IF('Check likelihoods'!U18="",Scale!$B$12,IFERROR(INDEX(Scale!$B$5:$B$10,MATCH('Check likelihoods'!U18,Scale!$A$5:$A$10,0)),Scale!$B$12))</f>
        <v>0.05</v>
      </c>
      <c r="V18" s="25">
        <f>IF('Check likelihoods'!V18="",Scale!$B$12,IFERROR(INDEX(Scale!$B$5:$B$10,MATCH('Check likelihoods'!V18,Scale!$A$5:$A$10,0)),Scale!$B$12))</f>
        <v>0.05</v>
      </c>
      <c r="W18" s="25">
        <f>IF('Check likelihoods'!W18="",Scale!$B$12,IFERROR(INDEX(Scale!$B$5:$B$10,MATCH('Check likelihoods'!W18,Scale!$A$5:$A$10,0)),Scale!$B$12))</f>
        <v>0.05</v>
      </c>
    </row>
    <row r="19" spans="1:23" x14ac:dyDescent="0.45">
      <c r="A19" s="13" t="str">
        <f>'Check likelihoods'!A19</f>
        <v>C14</v>
      </c>
      <c r="B19" s="13" t="str">
        <f>'Check likelihoods'!B19</f>
        <v/>
      </c>
      <c r="C19" s="13" t="str">
        <f>'Check likelihoods'!C19</f>
        <v/>
      </c>
      <c r="D19" s="25">
        <f>IF('Check likelihoods'!D19="",Scale!$B$12,IFERROR(INDEX(Scale!$B$5:$B$10,MATCH('Check likelihoods'!D19,Scale!$A$5:$A$10,0)),Scale!$B$12))</f>
        <v>0.05</v>
      </c>
      <c r="E19" s="25">
        <f>IF('Check likelihoods'!E19="",Scale!$B$12,IFERROR(INDEX(Scale!$B$5:$B$10,MATCH('Check likelihoods'!E19,Scale!$A$5:$A$10,0)),Scale!$B$12))</f>
        <v>0.05</v>
      </c>
      <c r="F19" s="25">
        <f>IF('Check likelihoods'!F19="",Scale!$B$12,IFERROR(INDEX(Scale!$B$5:$B$10,MATCH('Check likelihoods'!F19,Scale!$A$5:$A$10,0)),Scale!$B$12))</f>
        <v>0.05</v>
      </c>
      <c r="G19" s="25">
        <f>IF('Check likelihoods'!G19="",Scale!$B$12,IFERROR(INDEX(Scale!$B$5:$B$10,MATCH('Check likelihoods'!G19,Scale!$A$5:$A$10,0)),Scale!$B$12))</f>
        <v>0.05</v>
      </c>
      <c r="H19" s="25">
        <f>IF('Check likelihoods'!H19="",Scale!$B$12,IFERROR(INDEX(Scale!$B$5:$B$10,MATCH('Check likelihoods'!H19,Scale!$A$5:$A$10,0)),Scale!$B$12))</f>
        <v>0.05</v>
      </c>
      <c r="I19" s="25">
        <f>IF('Check likelihoods'!I19="",Scale!$B$12,IFERROR(INDEX(Scale!$B$5:$B$10,MATCH('Check likelihoods'!I19,Scale!$A$5:$A$10,0)),Scale!$B$12))</f>
        <v>0.05</v>
      </c>
      <c r="J19" s="25">
        <f>IF('Check likelihoods'!J19="",Scale!$B$12,IFERROR(INDEX(Scale!$B$5:$B$10,MATCH('Check likelihoods'!J19,Scale!$A$5:$A$10,0)),Scale!$B$12))</f>
        <v>0.05</v>
      </c>
      <c r="K19" s="25">
        <f>IF('Check likelihoods'!K19="",Scale!$B$12,IFERROR(INDEX(Scale!$B$5:$B$10,MATCH('Check likelihoods'!K19,Scale!$A$5:$A$10,0)),Scale!$B$12))</f>
        <v>0.05</v>
      </c>
      <c r="L19" s="25">
        <f>IF('Check likelihoods'!L19="",Scale!$B$12,IFERROR(INDEX(Scale!$B$5:$B$10,MATCH('Check likelihoods'!L19,Scale!$A$5:$A$10,0)),Scale!$B$12))</f>
        <v>0.05</v>
      </c>
      <c r="M19" s="25">
        <f>IF('Check likelihoods'!M19="",Scale!$B$12,IFERROR(INDEX(Scale!$B$5:$B$10,MATCH('Check likelihoods'!M19,Scale!$A$5:$A$10,0)),Scale!$B$12))</f>
        <v>0.05</v>
      </c>
      <c r="N19" s="25">
        <f>IF('Check likelihoods'!N19="",Scale!$B$12,IFERROR(INDEX(Scale!$B$5:$B$10,MATCH('Check likelihoods'!N19,Scale!$A$5:$A$10,0)),Scale!$B$12))</f>
        <v>0.05</v>
      </c>
      <c r="O19" s="25">
        <f>IF('Check likelihoods'!O19="",Scale!$B$12,IFERROR(INDEX(Scale!$B$5:$B$10,MATCH('Check likelihoods'!O19,Scale!$A$5:$A$10,0)),Scale!$B$12))</f>
        <v>0.05</v>
      </c>
      <c r="P19" s="25">
        <f>IF('Check likelihoods'!P19="",Scale!$B$12,IFERROR(INDEX(Scale!$B$5:$B$10,MATCH('Check likelihoods'!P19,Scale!$A$5:$A$10,0)),Scale!$B$12))</f>
        <v>0.05</v>
      </c>
      <c r="Q19" s="25">
        <f>IF('Check likelihoods'!Q19="",Scale!$B$12,IFERROR(INDEX(Scale!$B$5:$B$10,MATCH('Check likelihoods'!Q19,Scale!$A$5:$A$10,0)),Scale!$B$12))</f>
        <v>0.05</v>
      </c>
      <c r="R19" s="25">
        <f>IF('Check likelihoods'!R19="",Scale!$B$12,IFERROR(INDEX(Scale!$B$5:$B$10,MATCH('Check likelihoods'!R19,Scale!$A$5:$A$10,0)),Scale!$B$12))</f>
        <v>0.05</v>
      </c>
      <c r="S19" s="25">
        <f>IF('Check likelihoods'!S19="",Scale!$B$12,IFERROR(INDEX(Scale!$B$5:$B$10,MATCH('Check likelihoods'!S19,Scale!$A$5:$A$10,0)),Scale!$B$12))</f>
        <v>0.05</v>
      </c>
      <c r="T19" s="25">
        <f>IF('Check likelihoods'!T19="",Scale!$B$12,IFERROR(INDEX(Scale!$B$5:$B$10,MATCH('Check likelihoods'!T19,Scale!$A$5:$A$10,0)),Scale!$B$12))</f>
        <v>0.05</v>
      </c>
      <c r="U19" s="25">
        <f>IF('Check likelihoods'!U19="",Scale!$B$12,IFERROR(INDEX(Scale!$B$5:$B$10,MATCH('Check likelihoods'!U19,Scale!$A$5:$A$10,0)),Scale!$B$12))</f>
        <v>0.05</v>
      </c>
      <c r="V19" s="25">
        <f>IF('Check likelihoods'!V19="",Scale!$B$12,IFERROR(INDEX(Scale!$B$5:$B$10,MATCH('Check likelihoods'!V19,Scale!$A$5:$A$10,0)),Scale!$B$12))</f>
        <v>0.05</v>
      </c>
      <c r="W19" s="25">
        <f>IF('Check likelihoods'!W19="",Scale!$B$12,IFERROR(INDEX(Scale!$B$5:$B$10,MATCH('Check likelihoods'!W19,Scale!$A$5:$A$10,0)),Scale!$B$12))</f>
        <v>0.05</v>
      </c>
    </row>
    <row r="20" spans="1:23" x14ac:dyDescent="0.45">
      <c r="A20" s="13" t="str">
        <f>'Check likelihoods'!A20</f>
        <v>C15</v>
      </c>
      <c r="B20" s="13" t="str">
        <f>'Check likelihoods'!B20</f>
        <v/>
      </c>
      <c r="C20" s="13" t="str">
        <f>'Check likelihoods'!C20</f>
        <v/>
      </c>
      <c r="D20" s="25">
        <f>IF('Check likelihoods'!D20="",Scale!$B$12,IFERROR(INDEX(Scale!$B$5:$B$10,MATCH('Check likelihoods'!D20,Scale!$A$5:$A$10,0)),Scale!$B$12))</f>
        <v>0.05</v>
      </c>
      <c r="E20" s="25">
        <f>IF('Check likelihoods'!E20="",Scale!$B$12,IFERROR(INDEX(Scale!$B$5:$B$10,MATCH('Check likelihoods'!E20,Scale!$A$5:$A$10,0)),Scale!$B$12))</f>
        <v>0.05</v>
      </c>
      <c r="F20" s="25">
        <f>IF('Check likelihoods'!F20="",Scale!$B$12,IFERROR(INDEX(Scale!$B$5:$B$10,MATCH('Check likelihoods'!F20,Scale!$A$5:$A$10,0)),Scale!$B$12))</f>
        <v>0.05</v>
      </c>
      <c r="G20" s="25">
        <f>IF('Check likelihoods'!G20="",Scale!$B$12,IFERROR(INDEX(Scale!$B$5:$B$10,MATCH('Check likelihoods'!G20,Scale!$A$5:$A$10,0)),Scale!$B$12))</f>
        <v>0.05</v>
      </c>
      <c r="H20" s="25">
        <f>IF('Check likelihoods'!H20="",Scale!$B$12,IFERROR(INDEX(Scale!$B$5:$B$10,MATCH('Check likelihoods'!H20,Scale!$A$5:$A$10,0)),Scale!$B$12))</f>
        <v>0.05</v>
      </c>
      <c r="I20" s="25">
        <f>IF('Check likelihoods'!I20="",Scale!$B$12,IFERROR(INDEX(Scale!$B$5:$B$10,MATCH('Check likelihoods'!I20,Scale!$A$5:$A$10,0)),Scale!$B$12))</f>
        <v>0.05</v>
      </c>
      <c r="J20" s="25">
        <f>IF('Check likelihoods'!J20="",Scale!$B$12,IFERROR(INDEX(Scale!$B$5:$B$10,MATCH('Check likelihoods'!J20,Scale!$A$5:$A$10,0)),Scale!$B$12))</f>
        <v>0.05</v>
      </c>
      <c r="K20" s="25">
        <f>IF('Check likelihoods'!K20="",Scale!$B$12,IFERROR(INDEX(Scale!$B$5:$B$10,MATCH('Check likelihoods'!K20,Scale!$A$5:$A$10,0)),Scale!$B$12))</f>
        <v>0.05</v>
      </c>
      <c r="L20" s="25">
        <f>IF('Check likelihoods'!L20="",Scale!$B$12,IFERROR(INDEX(Scale!$B$5:$B$10,MATCH('Check likelihoods'!L20,Scale!$A$5:$A$10,0)),Scale!$B$12))</f>
        <v>0.05</v>
      </c>
      <c r="M20" s="25">
        <f>IF('Check likelihoods'!M20="",Scale!$B$12,IFERROR(INDEX(Scale!$B$5:$B$10,MATCH('Check likelihoods'!M20,Scale!$A$5:$A$10,0)),Scale!$B$12))</f>
        <v>0.05</v>
      </c>
      <c r="N20" s="25">
        <f>IF('Check likelihoods'!N20="",Scale!$B$12,IFERROR(INDEX(Scale!$B$5:$B$10,MATCH('Check likelihoods'!N20,Scale!$A$5:$A$10,0)),Scale!$B$12))</f>
        <v>0.05</v>
      </c>
      <c r="O20" s="25">
        <f>IF('Check likelihoods'!O20="",Scale!$B$12,IFERROR(INDEX(Scale!$B$5:$B$10,MATCH('Check likelihoods'!O20,Scale!$A$5:$A$10,0)),Scale!$B$12))</f>
        <v>0.05</v>
      </c>
      <c r="P20" s="25">
        <f>IF('Check likelihoods'!P20="",Scale!$B$12,IFERROR(INDEX(Scale!$B$5:$B$10,MATCH('Check likelihoods'!P20,Scale!$A$5:$A$10,0)),Scale!$B$12))</f>
        <v>0.05</v>
      </c>
      <c r="Q20" s="25">
        <f>IF('Check likelihoods'!Q20="",Scale!$B$12,IFERROR(INDEX(Scale!$B$5:$B$10,MATCH('Check likelihoods'!Q20,Scale!$A$5:$A$10,0)),Scale!$B$12))</f>
        <v>0.05</v>
      </c>
      <c r="R20" s="25">
        <f>IF('Check likelihoods'!R20="",Scale!$B$12,IFERROR(INDEX(Scale!$B$5:$B$10,MATCH('Check likelihoods'!R20,Scale!$A$5:$A$10,0)),Scale!$B$12))</f>
        <v>0.05</v>
      </c>
      <c r="S20" s="25">
        <f>IF('Check likelihoods'!S20="",Scale!$B$12,IFERROR(INDEX(Scale!$B$5:$B$10,MATCH('Check likelihoods'!S20,Scale!$A$5:$A$10,0)),Scale!$B$12))</f>
        <v>0.05</v>
      </c>
      <c r="T20" s="25">
        <f>IF('Check likelihoods'!T20="",Scale!$B$12,IFERROR(INDEX(Scale!$B$5:$B$10,MATCH('Check likelihoods'!T20,Scale!$A$5:$A$10,0)),Scale!$B$12))</f>
        <v>0.05</v>
      </c>
      <c r="U20" s="25">
        <f>IF('Check likelihoods'!U20="",Scale!$B$12,IFERROR(INDEX(Scale!$B$5:$B$10,MATCH('Check likelihoods'!U20,Scale!$A$5:$A$10,0)),Scale!$B$12))</f>
        <v>0.05</v>
      </c>
      <c r="V20" s="25">
        <f>IF('Check likelihoods'!V20="",Scale!$B$12,IFERROR(INDEX(Scale!$B$5:$B$10,MATCH('Check likelihoods'!V20,Scale!$A$5:$A$10,0)),Scale!$B$12))</f>
        <v>0.05</v>
      </c>
      <c r="W20" s="25">
        <f>IF('Check likelihoods'!W20="",Scale!$B$12,IFERROR(INDEX(Scale!$B$5:$B$10,MATCH('Check likelihoods'!W20,Scale!$A$5:$A$10,0)),Scale!$B$12))</f>
        <v>0.05</v>
      </c>
    </row>
    <row r="21" spans="1:23" x14ac:dyDescent="0.45">
      <c r="A21" s="13" t="str">
        <f>'Check likelihoods'!A21</f>
        <v>C16</v>
      </c>
      <c r="B21" s="13" t="str">
        <f>'Check likelihoods'!B21</f>
        <v/>
      </c>
      <c r="C21" s="13" t="str">
        <f>'Check likelihoods'!C21</f>
        <v/>
      </c>
      <c r="D21" s="25">
        <f>IF('Check likelihoods'!D21="",Scale!$B$12,IFERROR(INDEX(Scale!$B$5:$B$10,MATCH('Check likelihoods'!D21,Scale!$A$5:$A$10,0)),Scale!$B$12))</f>
        <v>0.05</v>
      </c>
      <c r="E21" s="25">
        <f>IF('Check likelihoods'!E21="",Scale!$B$12,IFERROR(INDEX(Scale!$B$5:$B$10,MATCH('Check likelihoods'!E21,Scale!$A$5:$A$10,0)),Scale!$B$12))</f>
        <v>0.05</v>
      </c>
      <c r="F21" s="25">
        <f>IF('Check likelihoods'!F21="",Scale!$B$12,IFERROR(INDEX(Scale!$B$5:$B$10,MATCH('Check likelihoods'!F21,Scale!$A$5:$A$10,0)),Scale!$B$12))</f>
        <v>0.05</v>
      </c>
      <c r="G21" s="25">
        <f>IF('Check likelihoods'!G21="",Scale!$B$12,IFERROR(INDEX(Scale!$B$5:$B$10,MATCH('Check likelihoods'!G21,Scale!$A$5:$A$10,0)),Scale!$B$12))</f>
        <v>0.05</v>
      </c>
      <c r="H21" s="25">
        <f>IF('Check likelihoods'!H21="",Scale!$B$12,IFERROR(INDEX(Scale!$B$5:$B$10,MATCH('Check likelihoods'!H21,Scale!$A$5:$A$10,0)),Scale!$B$12))</f>
        <v>0.05</v>
      </c>
      <c r="I21" s="25">
        <f>IF('Check likelihoods'!I21="",Scale!$B$12,IFERROR(INDEX(Scale!$B$5:$B$10,MATCH('Check likelihoods'!I21,Scale!$A$5:$A$10,0)),Scale!$B$12))</f>
        <v>0.05</v>
      </c>
      <c r="J21" s="25">
        <f>IF('Check likelihoods'!J21="",Scale!$B$12,IFERROR(INDEX(Scale!$B$5:$B$10,MATCH('Check likelihoods'!J21,Scale!$A$5:$A$10,0)),Scale!$B$12))</f>
        <v>0.05</v>
      </c>
      <c r="K21" s="25">
        <f>IF('Check likelihoods'!K21="",Scale!$B$12,IFERROR(INDEX(Scale!$B$5:$B$10,MATCH('Check likelihoods'!K21,Scale!$A$5:$A$10,0)),Scale!$B$12))</f>
        <v>0.05</v>
      </c>
      <c r="L21" s="25">
        <f>IF('Check likelihoods'!L21="",Scale!$B$12,IFERROR(INDEX(Scale!$B$5:$B$10,MATCH('Check likelihoods'!L21,Scale!$A$5:$A$10,0)),Scale!$B$12))</f>
        <v>0.05</v>
      </c>
      <c r="M21" s="25">
        <f>IF('Check likelihoods'!M21="",Scale!$B$12,IFERROR(INDEX(Scale!$B$5:$B$10,MATCH('Check likelihoods'!M21,Scale!$A$5:$A$10,0)),Scale!$B$12))</f>
        <v>0.05</v>
      </c>
      <c r="N21" s="25">
        <f>IF('Check likelihoods'!N21="",Scale!$B$12,IFERROR(INDEX(Scale!$B$5:$B$10,MATCH('Check likelihoods'!N21,Scale!$A$5:$A$10,0)),Scale!$B$12))</f>
        <v>0.05</v>
      </c>
      <c r="O21" s="25">
        <f>IF('Check likelihoods'!O21="",Scale!$B$12,IFERROR(INDEX(Scale!$B$5:$B$10,MATCH('Check likelihoods'!O21,Scale!$A$5:$A$10,0)),Scale!$B$12))</f>
        <v>0.05</v>
      </c>
      <c r="P21" s="25">
        <f>IF('Check likelihoods'!P21="",Scale!$B$12,IFERROR(INDEX(Scale!$B$5:$B$10,MATCH('Check likelihoods'!P21,Scale!$A$5:$A$10,0)),Scale!$B$12))</f>
        <v>0.05</v>
      </c>
      <c r="Q21" s="25">
        <f>IF('Check likelihoods'!Q21="",Scale!$B$12,IFERROR(INDEX(Scale!$B$5:$B$10,MATCH('Check likelihoods'!Q21,Scale!$A$5:$A$10,0)),Scale!$B$12))</f>
        <v>0.05</v>
      </c>
      <c r="R21" s="25">
        <f>IF('Check likelihoods'!R21="",Scale!$B$12,IFERROR(INDEX(Scale!$B$5:$B$10,MATCH('Check likelihoods'!R21,Scale!$A$5:$A$10,0)),Scale!$B$12))</f>
        <v>0.05</v>
      </c>
      <c r="S21" s="25">
        <f>IF('Check likelihoods'!S21="",Scale!$B$12,IFERROR(INDEX(Scale!$B$5:$B$10,MATCH('Check likelihoods'!S21,Scale!$A$5:$A$10,0)),Scale!$B$12))</f>
        <v>0.05</v>
      </c>
      <c r="T21" s="25">
        <f>IF('Check likelihoods'!T21="",Scale!$B$12,IFERROR(INDEX(Scale!$B$5:$B$10,MATCH('Check likelihoods'!T21,Scale!$A$5:$A$10,0)),Scale!$B$12))</f>
        <v>0.05</v>
      </c>
      <c r="U21" s="25">
        <f>IF('Check likelihoods'!U21="",Scale!$B$12,IFERROR(INDEX(Scale!$B$5:$B$10,MATCH('Check likelihoods'!U21,Scale!$A$5:$A$10,0)),Scale!$B$12))</f>
        <v>0.05</v>
      </c>
      <c r="V21" s="25">
        <f>IF('Check likelihoods'!V21="",Scale!$B$12,IFERROR(INDEX(Scale!$B$5:$B$10,MATCH('Check likelihoods'!V21,Scale!$A$5:$A$10,0)),Scale!$B$12))</f>
        <v>0.05</v>
      </c>
      <c r="W21" s="25">
        <f>IF('Check likelihoods'!W21="",Scale!$B$12,IFERROR(INDEX(Scale!$B$5:$B$10,MATCH('Check likelihoods'!W21,Scale!$A$5:$A$10,0)),Scale!$B$12))</f>
        <v>0.05</v>
      </c>
    </row>
    <row r="22" spans="1:23" x14ac:dyDescent="0.45">
      <c r="A22" s="13" t="str">
        <f>'Check likelihoods'!A22</f>
        <v>C17</v>
      </c>
      <c r="B22" s="13" t="str">
        <f>'Check likelihoods'!B22</f>
        <v/>
      </c>
      <c r="C22" s="13" t="str">
        <f>'Check likelihoods'!C22</f>
        <v/>
      </c>
      <c r="D22" s="25">
        <f>IF('Check likelihoods'!D22="",Scale!$B$12,IFERROR(INDEX(Scale!$B$5:$B$10,MATCH('Check likelihoods'!D22,Scale!$A$5:$A$10,0)),Scale!$B$12))</f>
        <v>0.05</v>
      </c>
      <c r="E22" s="25">
        <f>IF('Check likelihoods'!E22="",Scale!$B$12,IFERROR(INDEX(Scale!$B$5:$B$10,MATCH('Check likelihoods'!E22,Scale!$A$5:$A$10,0)),Scale!$B$12))</f>
        <v>0.05</v>
      </c>
      <c r="F22" s="25">
        <f>IF('Check likelihoods'!F22="",Scale!$B$12,IFERROR(INDEX(Scale!$B$5:$B$10,MATCH('Check likelihoods'!F22,Scale!$A$5:$A$10,0)),Scale!$B$12))</f>
        <v>0.05</v>
      </c>
      <c r="G22" s="25">
        <f>IF('Check likelihoods'!G22="",Scale!$B$12,IFERROR(INDEX(Scale!$B$5:$B$10,MATCH('Check likelihoods'!G22,Scale!$A$5:$A$10,0)),Scale!$B$12))</f>
        <v>0.05</v>
      </c>
      <c r="H22" s="25">
        <f>IF('Check likelihoods'!H22="",Scale!$B$12,IFERROR(INDEX(Scale!$B$5:$B$10,MATCH('Check likelihoods'!H22,Scale!$A$5:$A$10,0)),Scale!$B$12))</f>
        <v>0.05</v>
      </c>
      <c r="I22" s="25">
        <f>IF('Check likelihoods'!I22="",Scale!$B$12,IFERROR(INDEX(Scale!$B$5:$B$10,MATCH('Check likelihoods'!I22,Scale!$A$5:$A$10,0)),Scale!$B$12))</f>
        <v>0.05</v>
      </c>
      <c r="J22" s="25">
        <f>IF('Check likelihoods'!J22="",Scale!$B$12,IFERROR(INDEX(Scale!$B$5:$B$10,MATCH('Check likelihoods'!J22,Scale!$A$5:$A$10,0)),Scale!$B$12))</f>
        <v>0.05</v>
      </c>
      <c r="K22" s="25">
        <f>IF('Check likelihoods'!K22="",Scale!$B$12,IFERROR(INDEX(Scale!$B$5:$B$10,MATCH('Check likelihoods'!K22,Scale!$A$5:$A$10,0)),Scale!$B$12))</f>
        <v>0.05</v>
      </c>
      <c r="L22" s="25">
        <f>IF('Check likelihoods'!L22="",Scale!$B$12,IFERROR(INDEX(Scale!$B$5:$B$10,MATCH('Check likelihoods'!L22,Scale!$A$5:$A$10,0)),Scale!$B$12))</f>
        <v>0.05</v>
      </c>
      <c r="M22" s="25">
        <f>IF('Check likelihoods'!M22="",Scale!$B$12,IFERROR(INDEX(Scale!$B$5:$B$10,MATCH('Check likelihoods'!M22,Scale!$A$5:$A$10,0)),Scale!$B$12))</f>
        <v>0.05</v>
      </c>
      <c r="N22" s="25">
        <f>IF('Check likelihoods'!N22="",Scale!$B$12,IFERROR(INDEX(Scale!$B$5:$B$10,MATCH('Check likelihoods'!N22,Scale!$A$5:$A$10,0)),Scale!$B$12))</f>
        <v>0.05</v>
      </c>
      <c r="O22" s="25">
        <f>IF('Check likelihoods'!O22="",Scale!$B$12,IFERROR(INDEX(Scale!$B$5:$B$10,MATCH('Check likelihoods'!O22,Scale!$A$5:$A$10,0)),Scale!$B$12))</f>
        <v>0.05</v>
      </c>
      <c r="P22" s="25">
        <f>IF('Check likelihoods'!P22="",Scale!$B$12,IFERROR(INDEX(Scale!$B$5:$B$10,MATCH('Check likelihoods'!P22,Scale!$A$5:$A$10,0)),Scale!$B$12))</f>
        <v>0.05</v>
      </c>
      <c r="Q22" s="25">
        <f>IF('Check likelihoods'!Q22="",Scale!$B$12,IFERROR(INDEX(Scale!$B$5:$B$10,MATCH('Check likelihoods'!Q22,Scale!$A$5:$A$10,0)),Scale!$B$12))</f>
        <v>0.05</v>
      </c>
      <c r="R22" s="25">
        <f>IF('Check likelihoods'!R22="",Scale!$B$12,IFERROR(INDEX(Scale!$B$5:$B$10,MATCH('Check likelihoods'!R22,Scale!$A$5:$A$10,0)),Scale!$B$12))</f>
        <v>0.05</v>
      </c>
      <c r="S22" s="25">
        <f>IF('Check likelihoods'!S22="",Scale!$B$12,IFERROR(INDEX(Scale!$B$5:$B$10,MATCH('Check likelihoods'!S22,Scale!$A$5:$A$10,0)),Scale!$B$12))</f>
        <v>0.05</v>
      </c>
      <c r="T22" s="25">
        <f>IF('Check likelihoods'!T22="",Scale!$B$12,IFERROR(INDEX(Scale!$B$5:$B$10,MATCH('Check likelihoods'!T22,Scale!$A$5:$A$10,0)),Scale!$B$12))</f>
        <v>0.05</v>
      </c>
      <c r="U22" s="25">
        <f>IF('Check likelihoods'!U22="",Scale!$B$12,IFERROR(INDEX(Scale!$B$5:$B$10,MATCH('Check likelihoods'!U22,Scale!$A$5:$A$10,0)),Scale!$B$12))</f>
        <v>0.05</v>
      </c>
      <c r="V22" s="25">
        <f>IF('Check likelihoods'!V22="",Scale!$B$12,IFERROR(INDEX(Scale!$B$5:$B$10,MATCH('Check likelihoods'!V22,Scale!$A$5:$A$10,0)),Scale!$B$12))</f>
        <v>0.05</v>
      </c>
      <c r="W22" s="25">
        <f>IF('Check likelihoods'!W22="",Scale!$B$12,IFERROR(INDEX(Scale!$B$5:$B$10,MATCH('Check likelihoods'!W22,Scale!$A$5:$A$10,0)),Scale!$B$12))</f>
        <v>0.05</v>
      </c>
    </row>
    <row r="23" spans="1:23" x14ac:dyDescent="0.45">
      <c r="A23" s="13" t="str">
        <f>'Check likelihoods'!A23</f>
        <v>C18</v>
      </c>
      <c r="B23" s="13" t="str">
        <f>'Check likelihoods'!B23</f>
        <v/>
      </c>
      <c r="C23" s="13" t="str">
        <f>'Check likelihoods'!C23</f>
        <v/>
      </c>
      <c r="D23" s="25">
        <f>IF('Check likelihoods'!D23="",Scale!$B$12,IFERROR(INDEX(Scale!$B$5:$B$10,MATCH('Check likelihoods'!D23,Scale!$A$5:$A$10,0)),Scale!$B$12))</f>
        <v>0.05</v>
      </c>
      <c r="E23" s="25">
        <f>IF('Check likelihoods'!E23="",Scale!$B$12,IFERROR(INDEX(Scale!$B$5:$B$10,MATCH('Check likelihoods'!E23,Scale!$A$5:$A$10,0)),Scale!$B$12))</f>
        <v>0.05</v>
      </c>
      <c r="F23" s="25">
        <f>IF('Check likelihoods'!F23="",Scale!$B$12,IFERROR(INDEX(Scale!$B$5:$B$10,MATCH('Check likelihoods'!F23,Scale!$A$5:$A$10,0)),Scale!$B$12))</f>
        <v>0.05</v>
      </c>
      <c r="G23" s="25">
        <f>IF('Check likelihoods'!G23="",Scale!$B$12,IFERROR(INDEX(Scale!$B$5:$B$10,MATCH('Check likelihoods'!G23,Scale!$A$5:$A$10,0)),Scale!$B$12))</f>
        <v>0.05</v>
      </c>
      <c r="H23" s="25">
        <f>IF('Check likelihoods'!H23="",Scale!$B$12,IFERROR(INDEX(Scale!$B$5:$B$10,MATCH('Check likelihoods'!H23,Scale!$A$5:$A$10,0)),Scale!$B$12))</f>
        <v>0.05</v>
      </c>
      <c r="I23" s="25">
        <f>IF('Check likelihoods'!I23="",Scale!$B$12,IFERROR(INDEX(Scale!$B$5:$B$10,MATCH('Check likelihoods'!I23,Scale!$A$5:$A$10,0)),Scale!$B$12))</f>
        <v>0.05</v>
      </c>
      <c r="J23" s="25">
        <f>IF('Check likelihoods'!J23="",Scale!$B$12,IFERROR(INDEX(Scale!$B$5:$B$10,MATCH('Check likelihoods'!J23,Scale!$A$5:$A$10,0)),Scale!$B$12))</f>
        <v>0.05</v>
      </c>
      <c r="K23" s="25">
        <f>IF('Check likelihoods'!K23="",Scale!$B$12,IFERROR(INDEX(Scale!$B$5:$B$10,MATCH('Check likelihoods'!K23,Scale!$A$5:$A$10,0)),Scale!$B$12))</f>
        <v>0.05</v>
      </c>
      <c r="L23" s="25">
        <f>IF('Check likelihoods'!L23="",Scale!$B$12,IFERROR(INDEX(Scale!$B$5:$B$10,MATCH('Check likelihoods'!L23,Scale!$A$5:$A$10,0)),Scale!$B$12))</f>
        <v>0.05</v>
      </c>
      <c r="M23" s="25">
        <f>IF('Check likelihoods'!M23="",Scale!$B$12,IFERROR(INDEX(Scale!$B$5:$B$10,MATCH('Check likelihoods'!M23,Scale!$A$5:$A$10,0)),Scale!$B$12))</f>
        <v>0.05</v>
      </c>
      <c r="N23" s="25">
        <f>IF('Check likelihoods'!N23="",Scale!$B$12,IFERROR(INDEX(Scale!$B$5:$B$10,MATCH('Check likelihoods'!N23,Scale!$A$5:$A$10,0)),Scale!$B$12))</f>
        <v>0.05</v>
      </c>
      <c r="O23" s="25">
        <f>IF('Check likelihoods'!O23="",Scale!$B$12,IFERROR(INDEX(Scale!$B$5:$B$10,MATCH('Check likelihoods'!O23,Scale!$A$5:$A$10,0)),Scale!$B$12))</f>
        <v>0.05</v>
      </c>
      <c r="P23" s="25">
        <f>IF('Check likelihoods'!P23="",Scale!$B$12,IFERROR(INDEX(Scale!$B$5:$B$10,MATCH('Check likelihoods'!P23,Scale!$A$5:$A$10,0)),Scale!$B$12))</f>
        <v>0.05</v>
      </c>
      <c r="Q23" s="25">
        <f>IF('Check likelihoods'!Q23="",Scale!$B$12,IFERROR(INDEX(Scale!$B$5:$B$10,MATCH('Check likelihoods'!Q23,Scale!$A$5:$A$10,0)),Scale!$B$12))</f>
        <v>0.05</v>
      </c>
      <c r="R23" s="25">
        <f>IF('Check likelihoods'!R23="",Scale!$B$12,IFERROR(INDEX(Scale!$B$5:$B$10,MATCH('Check likelihoods'!R23,Scale!$A$5:$A$10,0)),Scale!$B$12))</f>
        <v>0.05</v>
      </c>
      <c r="S23" s="25">
        <f>IF('Check likelihoods'!S23="",Scale!$B$12,IFERROR(INDEX(Scale!$B$5:$B$10,MATCH('Check likelihoods'!S23,Scale!$A$5:$A$10,0)),Scale!$B$12))</f>
        <v>0.05</v>
      </c>
      <c r="T23" s="25">
        <f>IF('Check likelihoods'!T23="",Scale!$B$12,IFERROR(INDEX(Scale!$B$5:$B$10,MATCH('Check likelihoods'!T23,Scale!$A$5:$A$10,0)),Scale!$B$12))</f>
        <v>0.05</v>
      </c>
      <c r="U23" s="25">
        <f>IF('Check likelihoods'!U23="",Scale!$B$12,IFERROR(INDEX(Scale!$B$5:$B$10,MATCH('Check likelihoods'!U23,Scale!$A$5:$A$10,0)),Scale!$B$12))</f>
        <v>0.05</v>
      </c>
      <c r="V23" s="25">
        <f>IF('Check likelihoods'!V23="",Scale!$B$12,IFERROR(INDEX(Scale!$B$5:$B$10,MATCH('Check likelihoods'!V23,Scale!$A$5:$A$10,0)),Scale!$B$12))</f>
        <v>0.05</v>
      </c>
      <c r="W23" s="25">
        <f>IF('Check likelihoods'!W23="",Scale!$B$12,IFERROR(INDEX(Scale!$B$5:$B$10,MATCH('Check likelihoods'!W23,Scale!$A$5:$A$10,0)),Scale!$B$12))</f>
        <v>0.05</v>
      </c>
    </row>
    <row r="24" spans="1:23" x14ac:dyDescent="0.45">
      <c r="A24" s="13" t="str">
        <f>'Check likelihoods'!A24</f>
        <v>C19</v>
      </c>
      <c r="B24" s="13" t="str">
        <f>'Check likelihoods'!B24</f>
        <v/>
      </c>
      <c r="C24" s="13" t="str">
        <f>'Check likelihoods'!C24</f>
        <v/>
      </c>
      <c r="D24" s="25">
        <f>IF('Check likelihoods'!D24="",Scale!$B$12,IFERROR(INDEX(Scale!$B$5:$B$10,MATCH('Check likelihoods'!D24,Scale!$A$5:$A$10,0)),Scale!$B$12))</f>
        <v>0.05</v>
      </c>
      <c r="E24" s="25">
        <f>IF('Check likelihoods'!E24="",Scale!$B$12,IFERROR(INDEX(Scale!$B$5:$B$10,MATCH('Check likelihoods'!E24,Scale!$A$5:$A$10,0)),Scale!$B$12))</f>
        <v>0.05</v>
      </c>
      <c r="F24" s="25">
        <f>IF('Check likelihoods'!F24="",Scale!$B$12,IFERROR(INDEX(Scale!$B$5:$B$10,MATCH('Check likelihoods'!F24,Scale!$A$5:$A$10,0)),Scale!$B$12))</f>
        <v>0.05</v>
      </c>
      <c r="G24" s="25">
        <f>IF('Check likelihoods'!G24="",Scale!$B$12,IFERROR(INDEX(Scale!$B$5:$B$10,MATCH('Check likelihoods'!G24,Scale!$A$5:$A$10,0)),Scale!$B$12))</f>
        <v>0.05</v>
      </c>
      <c r="H24" s="25">
        <f>IF('Check likelihoods'!H24="",Scale!$B$12,IFERROR(INDEX(Scale!$B$5:$B$10,MATCH('Check likelihoods'!H24,Scale!$A$5:$A$10,0)),Scale!$B$12))</f>
        <v>0.05</v>
      </c>
      <c r="I24" s="25">
        <f>IF('Check likelihoods'!I24="",Scale!$B$12,IFERROR(INDEX(Scale!$B$5:$B$10,MATCH('Check likelihoods'!I24,Scale!$A$5:$A$10,0)),Scale!$B$12))</f>
        <v>0.05</v>
      </c>
      <c r="J24" s="25">
        <f>IF('Check likelihoods'!J24="",Scale!$B$12,IFERROR(INDEX(Scale!$B$5:$B$10,MATCH('Check likelihoods'!J24,Scale!$A$5:$A$10,0)),Scale!$B$12))</f>
        <v>0.05</v>
      </c>
      <c r="K24" s="25">
        <f>IF('Check likelihoods'!K24="",Scale!$B$12,IFERROR(INDEX(Scale!$B$5:$B$10,MATCH('Check likelihoods'!K24,Scale!$A$5:$A$10,0)),Scale!$B$12))</f>
        <v>0.05</v>
      </c>
      <c r="L24" s="25">
        <f>IF('Check likelihoods'!L24="",Scale!$B$12,IFERROR(INDEX(Scale!$B$5:$B$10,MATCH('Check likelihoods'!L24,Scale!$A$5:$A$10,0)),Scale!$B$12))</f>
        <v>0.05</v>
      </c>
      <c r="M24" s="25">
        <f>IF('Check likelihoods'!M24="",Scale!$B$12,IFERROR(INDEX(Scale!$B$5:$B$10,MATCH('Check likelihoods'!M24,Scale!$A$5:$A$10,0)),Scale!$B$12))</f>
        <v>0.05</v>
      </c>
      <c r="N24" s="25">
        <f>IF('Check likelihoods'!N24="",Scale!$B$12,IFERROR(INDEX(Scale!$B$5:$B$10,MATCH('Check likelihoods'!N24,Scale!$A$5:$A$10,0)),Scale!$B$12))</f>
        <v>0.05</v>
      </c>
      <c r="O24" s="25">
        <f>IF('Check likelihoods'!O24="",Scale!$B$12,IFERROR(INDEX(Scale!$B$5:$B$10,MATCH('Check likelihoods'!O24,Scale!$A$5:$A$10,0)),Scale!$B$12))</f>
        <v>0.05</v>
      </c>
      <c r="P24" s="25">
        <f>IF('Check likelihoods'!P24="",Scale!$B$12,IFERROR(INDEX(Scale!$B$5:$B$10,MATCH('Check likelihoods'!P24,Scale!$A$5:$A$10,0)),Scale!$B$12))</f>
        <v>0.05</v>
      </c>
      <c r="Q24" s="25">
        <f>IF('Check likelihoods'!Q24="",Scale!$B$12,IFERROR(INDEX(Scale!$B$5:$B$10,MATCH('Check likelihoods'!Q24,Scale!$A$5:$A$10,0)),Scale!$B$12))</f>
        <v>0.05</v>
      </c>
      <c r="R24" s="25">
        <f>IF('Check likelihoods'!R24="",Scale!$B$12,IFERROR(INDEX(Scale!$B$5:$B$10,MATCH('Check likelihoods'!R24,Scale!$A$5:$A$10,0)),Scale!$B$12))</f>
        <v>0.05</v>
      </c>
      <c r="S24" s="25">
        <f>IF('Check likelihoods'!S24="",Scale!$B$12,IFERROR(INDEX(Scale!$B$5:$B$10,MATCH('Check likelihoods'!S24,Scale!$A$5:$A$10,0)),Scale!$B$12))</f>
        <v>0.05</v>
      </c>
      <c r="T24" s="25">
        <f>IF('Check likelihoods'!T24="",Scale!$B$12,IFERROR(INDEX(Scale!$B$5:$B$10,MATCH('Check likelihoods'!T24,Scale!$A$5:$A$10,0)),Scale!$B$12))</f>
        <v>0.05</v>
      </c>
      <c r="U24" s="25">
        <f>IF('Check likelihoods'!U24="",Scale!$B$12,IFERROR(INDEX(Scale!$B$5:$B$10,MATCH('Check likelihoods'!U24,Scale!$A$5:$A$10,0)),Scale!$B$12))</f>
        <v>0.05</v>
      </c>
      <c r="V24" s="25">
        <f>IF('Check likelihoods'!V24="",Scale!$B$12,IFERROR(INDEX(Scale!$B$5:$B$10,MATCH('Check likelihoods'!V24,Scale!$A$5:$A$10,0)),Scale!$B$12))</f>
        <v>0.05</v>
      </c>
      <c r="W24" s="25">
        <f>IF('Check likelihoods'!W24="",Scale!$B$12,IFERROR(INDEX(Scale!$B$5:$B$10,MATCH('Check likelihoods'!W24,Scale!$A$5:$A$10,0)),Scale!$B$12))</f>
        <v>0.05</v>
      </c>
    </row>
    <row r="25" spans="1:23" x14ac:dyDescent="0.45">
      <c r="A25" s="13" t="str">
        <f>'Check likelihoods'!A25</f>
        <v>C20</v>
      </c>
      <c r="B25" s="13" t="str">
        <f>'Check likelihoods'!B25</f>
        <v/>
      </c>
      <c r="C25" s="13" t="str">
        <f>'Check likelihoods'!C25</f>
        <v/>
      </c>
      <c r="D25" s="25">
        <f>IF('Check likelihoods'!D25="",Scale!$B$12,IFERROR(INDEX(Scale!$B$5:$B$10,MATCH('Check likelihoods'!D25,Scale!$A$5:$A$10,0)),Scale!$B$12))</f>
        <v>0.05</v>
      </c>
      <c r="E25" s="25">
        <f>IF('Check likelihoods'!E25="",Scale!$B$12,IFERROR(INDEX(Scale!$B$5:$B$10,MATCH('Check likelihoods'!E25,Scale!$A$5:$A$10,0)),Scale!$B$12))</f>
        <v>0.05</v>
      </c>
      <c r="F25" s="25">
        <f>IF('Check likelihoods'!F25="",Scale!$B$12,IFERROR(INDEX(Scale!$B$5:$B$10,MATCH('Check likelihoods'!F25,Scale!$A$5:$A$10,0)),Scale!$B$12))</f>
        <v>0.05</v>
      </c>
      <c r="G25" s="25">
        <f>IF('Check likelihoods'!G25="",Scale!$B$12,IFERROR(INDEX(Scale!$B$5:$B$10,MATCH('Check likelihoods'!G25,Scale!$A$5:$A$10,0)),Scale!$B$12))</f>
        <v>0.05</v>
      </c>
      <c r="H25" s="25">
        <f>IF('Check likelihoods'!H25="",Scale!$B$12,IFERROR(INDEX(Scale!$B$5:$B$10,MATCH('Check likelihoods'!H25,Scale!$A$5:$A$10,0)),Scale!$B$12))</f>
        <v>0.05</v>
      </c>
      <c r="I25" s="25">
        <f>IF('Check likelihoods'!I25="",Scale!$B$12,IFERROR(INDEX(Scale!$B$5:$B$10,MATCH('Check likelihoods'!I25,Scale!$A$5:$A$10,0)),Scale!$B$12))</f>
        <v>0.05</v>
      </c>
      <c r="J25" s="25">
        <f>IF('Check likelihoods'!J25="",Scale!$B$12,IFERROR(INDEX(Scale!$B$5:$B$10,MATCH('Check likelihoods'!J25,Scale!$A$5:$A$10,0)),Scale!$B$12))</f>
        <v>0.05</v>
      </c>
      <c r="K25" s="25">
        <f>IF('Check likelihoods'!K25="",Scale!$B$12,IFERROR(INDEX(Scale!$B$5:$B$10,MATCH('Check likelihoods'!K25,Scale!$A$5:$A$10,0)),Scale!$B$12))</f>
        <v>0.05</v>
      </c>
      <c r="L25" s="25">
        <f>IF('Check likelihoods'!L25="",Scale!$B$12,IFERROR(INDEX(Scale!$B$5:$B$10,MATCH('Check likelihoods'!L25,Scale!$A$5:$A$10,0)),Scale!$B$12))</f>
        <v>0.05</v>
      </c>
      <c r="M25" s="25">
        <f>IF('Check likelihoods'!M25="",Scale!$B$12,IFERROR(INDEX(Scale!$B$5:$B$10,MATCH('Check likelihoods'!M25,Scale!$A$5:$A$10,0)),Scale!$B$12))</f>
        <v>0.05</v>
      </c>
      <c r="N25" s="25">
        <f>IF('Check likelihoods'!N25="",Scale!$B$12,IFERROR(INDEX(Scale!$B$5:$B$10,MATCH('Check likelihoods'!N25,Scale!$A$5:$A$10,0)),Scale!$B$12))</f>
        <v>0.05</v>
      </c>
      <c r="O25" s="25">
        <f>IF('Check likelihoods'!O25="",Scale!$B$12,IFERROR(INDEX(Scale!$B$5:$B$10,MATCH('Check likelihoods'!O25,Scale!$A$5:$A$10,0)),Scale!$B$12))</f>
        <v>0.05</v>
      </c>
      <c r="P25" s="25">
        <f>IF('Check likelihoods'!P25="",Scale!$B$12,IFERROR(INDEX(Scale!$B$5:$B$10,MATCH('Check likelihoods'!P25,Scale!$A$5:$A$10,0)),Scale!$B$12))</f>
        <v>0.05</v>
      </c>
      <c r="Q25" s="25">
        <f>IF('Check likelihoods'!Q25="",Scale!$B$12,IFERROR(INDEX(Scale!$B$5:$B$10,MATCH('Check likelihoods'!Q25,Scale!$A$5:$A$10,0)),Scale!$B$12))</f>
        <v>0.05</v>
      </c>
      <c r="R25" s="25">
        <f>IF('Check likelihoods'!R25="",Scale!$B$12,IFERROR(INDEX(Scale!$B$5:$B$10,MATCH('Check likelihoods'!R25,Scale!$A$5:$A$10,0)),Scale!$B$12))</f>
        <v>0.05</v>
      </c>
      <c r="S25" s="25">
        <f>IF('Check likelihoods'!S25="",Scale!$B$12,IFERROR(INDEX(Scale!$B$5:$B$10,MATCH('Check likelihoods'!S25,Scale!$A$5:$A$10,0)),Scale!$B$12))</f>
        <v>0.05</v>
      </c>
      <c r="T25" s="25">
        <f>IF('Check likelihoods'!T25="",Scale!$B$12,IFERROR(INDEX(Scale!$B$5:$B$10,MATCH('Check likelihoods'!T25,Scale!$A$5:$A$10,0)),Scale!$B$12))</f>
        <v>0.05</v>
      </c>
      <c r="U25" s="25">
        <f>IF('Check likelihoods'!U25="",Scale!$B$12,IFERROR(INDEX(Scale!$B$5:$B$10,MATCH('Check likelihoods'!U25,Scale!$A$5:$A$10,0)),Scale!$B$12))</f>
        <v>0.05</v>
      </c>
      <c r="V25" s="25">
        <f>IF('Check likelihoods'!V25="",Scale!$B$12,IFERROR(INDEX(Scale!$B$5:$B$10,MATCH('Check likelihoods'!V25,Scale!$A$5:$A$10,0)),Scale!$B$12))</f>
        <v>0.05</v>
      </c>
      <c r="W25" s="25">
        <f>IF('Check likelihoods'!W25="",Scale!$B$12,IFERROR(INDEX(Scale!$B$5:$B$10,MATCH('Check likelihoods'!W25,Scale!$A$5:$A$10,0)),Scale!$B$12))</f>
        <v>0.05</v>
      </c>
    </row>
    <row r="26" spans="1:23" x14ac:dyDescent="0.45">
      <c r="A26" s="13" t="str">
        <f>'Check likelihoods'!A26</f>
        <v>C21</v>
      </c>
      <c r="B26" s="13" t="str">
        <f>'Check likelihoods'!B26</f>
        <v/>
      </c>
      <c r="C26" s="13" t="str">
        <f>'Check likelihoods'!C26</f>
        <v/>
      </c>
      <c r="D26" s="25">
        <f>IF('Check likelihoods'!D26="",Scale!$B$12,IFERROR(INDEX(Scale!$B$5:$B$10,MATCH('Check likelihoods'!D26,Scale!$A$5:$A$10,0)),Scale!$B$12))</f>
        <v>0.05</v>
      </c>
      <c r="E26" s="25">
        <f>IF('Check likelihoods'!E26="",Scale!$B$12,IFERROR(INDEX(Scale!$B$5:$B$10,MATCH('Check likelihoods'!E26,Scale!$A$5:$A$10,0)),Scale!$B$12))</f>
        <v>0.05</v>
      </c>
      <c r="F26" s="25">
        <f>IF('Check likelihoods'!F26="",Scale!$B$12,IFERROR(INDEX(Scale!$B$5:$B$10,MATCH('Check likelihoods'!F26,Scale!$A$5:$A$10,0)),Scale!$B$12))</f>
        <v>0.05</v>
      </c>
      <c r="G26" s="25">
        <f>IF('Check likelihoods'!G26="",Scale!$B$12,IFERROR(INDEX(Scale!$B$5:$B$10,MATCH('Check likelihoods'!G26,Scale!$A$5:$A$10,0)),Scale!$B$12))</f>
        <v>0.05</v>
      </c>
      <c r="H26" s="25">
        <f>IF('Check likelihoods'!H26="",Scale!$B$12,IFERROR(INDEX(Scale!$B$5:$B$10,MATCH('Check likelihoods'!H26,Scale!$A$5:$A$10,0)),Scale!$B$12))</f>
        <v>0.05</v>
      </c>
      <c r="I26" s="25">
        <f>IF('Check likelihoods'!I26="",Scale!$B$12,IFERROR(INDEX(Scale!$B$5:$B$10,MATCH('Check likelihoods'!I26,Scale!$A$5:$A$10,0)),Scale!$B$12))</f>
        <v>0.05</v>
      </c>
      <c r="J26" s="25">
        <f>IF('Check likelihoods'!J26="",Scale!$B$12,IFERROR(INDEX(Scale!$B$5:$B$10,MATCH('Check likelihoods'!J26,Scale!$A$5:$A$10,0)),Scale!$B$12))</f>
        <v>0.05</v>
      </c>
      <c r="K26" s="25">
        <f>IF('Check likelihoods'!K26="",Scale!$B$12,IFERROR(INDEX(Scale!$B$5:$B$10,MATCH('Check likelihoods'!K26,Scale!$A$5:$A$10,0)),Scale!$B$12))</f>
        <v>0.05</v>
      </c>
      <c r="L26" s="25">
        <f>IF('Check likelihoods'!L26="",Scale!$B$12,IFERROR(INDEX(Scale!$B$5:$B$10,MATCH('Check likelihoods'!L26,Scale!$A$5:$A$10,0)),Scale!$B$12))</f>
        <v>0.05</v>
      </c>
      <c r="M26" s="25">
        <f>IF('Check likelihoods'!M26="",Scale!$B$12,IFERROR(INDEX(Scale!$B$5:$B$10,MATCH('Check likelihoods'!M26,Scale!$A$5:$A$10,0)),Scale!$B$12))</f>
        <v>0.05</v>
      </c>
      <c r="N26" s="25">
        <f>IF('Check likelihoods'!N26="",Scale!$B$12,IFERROR(INDEX(Scale!$B$5:$B$10,MATCH('Check likelihoods'!N26,Scale!$A$5:$A$10,0)),Scale!$B$12))</f>
        <v>0.05</v>
      </c>
      <c r="O26" s="25">
        <f>IF('Check likelihoods'!O26="",Scale!$B$12,IFERROR(INDEX(Scale!$B$5:$B$10,MATCH('Check likelihoods'!O26,Scale!$A$5:$A$10,0)),Scale!$B$12))</f>
        <v>0.05</v>
      </c>
      <c r="P26" s="25">
        <f>IF('Check likelihoods'!P26="",Scale!$B$12,IFERROR(INDEX(Scale!$B$5:$B$10,MATCH('Check likelihoods'!P26,Scale!$A$5:$A$10,0)),Scale!$B$12))</f>
        <v>0.05</v>
      </c>
      <c r="Q26" s="25">
        <f>IF('Check likelihoods'!Q26="",Scale!$B$12,IFERROR(INDEX(Scale!$B$5:$B$10,MATCH('Check likelihoods'!Q26,Scale!$A$5:$A$10,0)),Scale!$B$12))</f>
        <v>0.05</v>
      </c>
      <c r="R26" s="25">
        <f>IF('Check likelihoods'!R26="",Scale!$B$12,IFERROR(INDEX(Scale!$B$5:$B$10,MATCH('Check likelihoods'!R26,Scale!$A$5:$A$10,0)),Scale!$B$12))</f>
        <v>0.05</v>
      </c>
      <c r="S26" s="25">
        <f>IF('Check likelihoods'!S26="",Scale!$B$12,IFERROR(INDEX(Scale!$B$5:$B$10,MATCH('Check likelihoods'!S26,Scale!$A$5:$A$10,0)),Scale!$B$12))</f>
        <v>0.05</v>
      </c>
      <c r="T26" s="25">
        <f>IF('Check likelihoods'!T26="",Scale!$B$12,IFERROR(INDEX(Scale!$B$5:$B$10,MATCH('Check likelihoods'!T26,Scale!$A$5:$A$10,0)),Scale!$B$12))</f>
        <v>0.05</v>
      </c>
      <c r="U26" s="25">
        <f>IF('Check likelihoods'!U26="",Scale!$B$12,IFERROR(INDEX(Scale!$B$5:$B$10,MATCH('Check likelihoods'!U26,Scale!$A$5:$A$10,0)),Scale!$B$12))</f>
        <v>0.05</v>
      </c>
      <c r="V26" s="25">
        <f>IF('Check likelihoods'!V26="",Scale!$B$12,IFERROR(INDEX(Scale!$B$5:$B$10,MATCH('Check likelihoods'!V26,Scale!$A$5:$A$10,0)),Scale!$B$12))</f>
        <v>0.05</v>
      </c>
      <c r="W26" s="25">
        <f>IF('Check likelihoods'!W26="",Scale!$B$12,IFERROR(INDEX(Scale!$B$5:$B$10,MATCH('Check likelihoods'!W26,Scale!$A$5:$A$10,0)),Scale!$B$12))</f>
        <v>0.05</v>
      </c>
    </row>
    <row r="27" spans="1:23" x14ac:dyDescent="0.45">
      <c r="A27" s="13" t="str">
        <f>'Check likelihoods'!A27</f>
        <v>C22</v>
      </c>
      <c r="B27" s="13" t="str">
        <f>'Check likelihoods'!B27</f>
        <v/>
      </c>
      <c r="C27" s="13" t="str">
        <f>'Check likelihoods'!C27</f>
        <v/>
      </c>
      <c r="D27" s="25">
        <f>IF('Check likelihoods'!D27="",Scale!$B$12,IFERROR(INDEX(Scale!$B$5:$B$10,MATCH('Check likelihoods'!D27,Scale!$A$5:$A$10,0)),Scale!$B$12))</f>
        <v>0.05</v>
      </c>
      <c r="E27" s="25">
        <f>IF('Check likelihoods'!E27="",Scale!$B$12,IFERROR(INDEX(Scale!$B$5:$B$10,MATCH('Check likelihoods'!E27,Scale!$A$5:$A$10,0)),Scale!$B$12))</f>
        <v>0.05</v>
      </c>
      <c r="F27" s="25">
        <f>IF('Check likelihoods'!F27="",Scale!$B$12,IFERROR(INDEX(Scale!$B$5:$B$10,MATCH('Check likelihoods'!F27,Scale!$A$5:$A$10,0)),Scale!$B$12))</f>
        <v>0.05</v>
      </c>
      <c r="G27" s="25">
        <f>IF('Check likelihoods'!G27="",Scale!$B$12,IFERROR(INDEX(Scale!$B$5:$B$10,MATCH('Check likelihoods'!G27,Scale!$A$5:$A$10,0)),Scale!$B$12))</f>
        <v>0.05</v>
      </c>
      <c r="H27" s="25">
        <f>IF('Check likelihoods'!H27="",Scale!$B$12,IFERROR(INDEX(Scale!$B$5:$B$10,MATCH('Check likelihoods'!H27,Scale!$A$5:$A$10,0)),Scale!$B$12))</f>
        <v>0.05</v>
      </c>
      <c r="I27" s="25">
        <f>IF('Check likelihoods'!I27="",Scale!$B$12,IFERROR(INDEX(Scale!$B$5:$B$10,MATCH('Check likelihoods'!I27,Scale!$A$5:$A$10,0)),Scale!$B$12))</f>
        <v>0.05</v>
      </c>
      <c r="J27" s="25">
        <f>IF('Check likelihoods'!J27="",Scale!$B$12,IFERROR(INDEX(Scale!$B$5:$B$10,MATCH('Check likelihoods'!J27,Scale!$A$5:$A$10,0)),Scale!$B$12))</f>
        <v>0.05</v>
      </c>
      <c r="K27" s="25">
        <f>IF('Check likelihoods'!K27="",Scale!$B$12,IFERROR(INDEX(Scale!$B$5:$B$10,MATCH('Check likelihoods'!K27,Scale!$A$5:$A$10,0)),Scale!$B$12))</f>
        <v>0.05</v>
      </c>
      <c r="L27" s="25">
        <f>IF('Check likelihoods'!L27="",Scale!$B$12,IFERROR(INDEX(Scale!$B$5:$B$10,MATCH('Check likelihoods'!L27,Scale!$A$5:$A$10,0)),Scale!$B$12))</f>
        <v>0.05</v>
      </c>
      <c r="M27" s="25">
        <f>IF('Check likelihoods'!M27="",Scale!$B$12,IFERROR(INDEX(Scale!$B$5:$B$10,MATCH('Check likelihoods'!M27,Scale!$A$5:$A$10,0)),Scale!$B$12))</f>
        <v>0.05</v>
      </c>
      <c r="N27" s="25">
        <f>IF('Check likelihoods'!N27="",Scale!$B$12,IFERROR(INDEX(Scale!$B$5:$B$10,MATCH('Check likelihoods'!N27,Scale!$A$5:$A$10,0)),Scale!$B$12))</f>
        <v>0.05</v>
      </c>
      <c r="O27" s="25">
        <f>IF('Check likelihoods'!O27="",Scale!$B$12,IFERROR(INDEX(Scale!$B$5:$B$10,MATCH('Check likelihoods'!O27,Scale!$A$5:$A$10,0)),Scale!$B$12))</f>
        <v>0.05</v>
      </c>
      <c r="P27" s="25">
        <f>IF('Check likelihoods'!P27="",Scale!$B$12,IFERROR(INDEX(Scale!$B$5:$B$10,MATCH('Check likelihoods'!P27,Scale!$A$5:$A$10,0)),Scale!$B$12))</f>
        <v>0.05</v>
      </c>
      <c r="Q27" s="25">
        <f>IF('Check likelihoods'!Q27="",Scale!$B$12,IFERROR(INDEX(Scale!$B$5:$B$10,MATCH('Check likelihoods'!Q27,Scale!$A$5:$A$10,0)),Scale!$B$12))</f>
        <v>0.05</v>
      </c>
      <c r="R27" s="25">
        <f>IF('Check likelihoods'!R27="",Scale!$B$12,IFERROR(INDEX(Scale!$B$5:$B$10,MATCH('Check likelihoods'!R27,Scale!$A$5:$A$10,0)),Scale!$B$12))</f>
        <v>0.05</v>
      </c>
      <c r="S27" s="25">
        <f>IF('Check likelihoods'!S27="",Scale!$B$12,IFERROR(INDEX(Scale!$B$5:$B$10,MATCH('Check likelihoods'!S27,Scale!$A$5:$A$10,0)),Scale!$B$12))</f>
        <v>0.05</v>
      </c>
      <c r="T27" s="25">
        <f>IF('Check likelihoods'!T27="",Scale!$B$12,IFERROR(INDEX(Scale!$B$5:$B$10,MATCH('Check likelihoods'!T27,Scale!$A$5:$A$10,0)),Scale!$B$12))</f>
        <v>0.05</v>
      </c>
      <c r="U27" s="25">
        <f>IF('Check likelihoods'!U27="",Scale!$B$12,IFERROR(INDEX(Scale!$B$5:$B$10,MATCH('Check likelihoods'!U27,Scale!$A$5:$A$10,0)),Scale!$B$12))</f>
        <v>0.05</v>
      </c>
      <c r="V27" s="25">
        <f>IF('Check likelihoods'!V27="",Scale!$B$12,IFERROR(INDEX(Scale!$B$5:$B$10,MATCH('Check likelihoods'!V27,Scale!$A$5:$A$10,0)),Scale!$B$12))</f>
        <v>0.05</v>
      </c>
      <c r="W27" s="25">
        <f>IF('Check likelihoods'!W27="",Scale!$B$12,IFERROR(INDEX(Scale!$B$5:$B$10,MATCH('Check likelihoods'!W27,Scale!$A$5:$A$10,0)),Scale!$B$12))</f>
        <v>0.05</v>
      </c>
    </row>
    <row r="28" spans="1:23" x14ac:dyDescent="0.45">
      <c r="A28" s="13" t="str">
        <f>'Check likelihoods'!A28</f>
        <v>C23</v>
      </c>
      <c r="B28" s="13" t="str">
        <f>'Check likelihoods'!B28</f>
        <v/>
      </c>
      <c r="C28" s="13" t="str">
        <f>'Check likelihoods'!C28</f>
        <v/>
      </c>
      <c r="D28" s="25">
        <f>IF('Check likelihoods'!D28="",Scale!$B$12,IFERROR(INDEX(Scale!$B$5:$B$10,MATCH('Check likelihoods'!D28,Scale!$A$5:$A$10,0)),Scale!$B$12))</f>
        <v>0.05</v>
      </c>
      <c r="E28" s="25">
        <f>IF('Check likelihoods'!E28="",Scale!$B$12,IFERROR(INDEX(Scale!$B$5:$B$10,MATCH('Check likelihoods'!E28,Scale!$A$5:$A$10,0)),Scale!$B$12))</f>
        <v>0.05</v>
      </c>
      <c r="F28" s="25">
        <f>IF('Check likelihoods'!F28="",Scale!$B$12,IFERROR(INDEX(Scale!$B$5:$B$10,MATCH('Check likelihoods'!F28,Scale!$A$5:$A$10,0)),Scale!$B$12))</f>
        <v>0.05</v>
      </c>
      <c r="G28" s="25">
        <f>IF('Check likelihoods'!G28="",Scale!$B$12,IFERROR(INDEX(Scale!$B$5:$B$10,MATCH('Check likelihoods'!G28,Scale!$A$5:$A$10,0)),Scale!$B$12))</f>
        <v>0.05</v>
      </c>
      <c r="H28" s="25">
        <f>IF('Check likelihoods'!H28="",Scale!$B$12,IFERROR(INDEX(Scale!$B$5:$B$10,MATCH('Check likelihoods'!H28,Scale!$A$5:$A$10,0)),Scale!$B$12))</f>
        <v>0.05</v>
      </c>
      <c r="I28" s="25">
        <f>IF('Check likelihoods'!I28="",Scale!$B$12,IFERROR(INDEX(Scale!$B$5:$B$10,MATCH('Check likelihoods'!I28,Scale!$A$5:$A$10,0)),Scale!$B$12))</f>
        <v>0.05</v>
      </c>
      <c r="J28" s="25">
        <f>IF('Check likelihoods'!J28="",Scale!$B$12,IFERROR(INDEX(Scale!$B$5:$B$10,MATCH('Check likelihoods'!J28,Scale!$A$5:$A$10,0)),Scale!$B$12))</f>
        <v>0.05</v>
      </c>
      <c r="K28" s="25">
        <f>IF('Check likelihoods'!K28="",Scale!$B$12,IFERROR(INDEX(Scale!$B$5:$B$10,MATCH('Check likelihoods'!K28,Scale!$A$5:$A$10,0)),Scale!$B$12))</f>
        <v>0.05</v>
      </c>
      <c r="L28" s="25">
        <f>IF('Check likelihoods'!L28="",Scale!$B$12,IFERROR(INDEX(Scale!$B$5:$B$10,MATCH('Check likelihoods'!L28,Scale!$A$5:$A$10,0)),Scale!$B$12))</f>
        <v>0.05</v>
      </c>
      <c r="M28" s="25">
        <f>IF('Check likelihoods'!M28="",Scale!$B$12,IFERROR(INDEX(Scale!$B$5:$B$10,MATCH('Check likelihoods'!M28,Scale!$A$5:$A$10,0)),Scale!$B$12))</f>
        <v>0.05</v>
      </c>
      <c r="N28" s="25">
        <f>IF('Check likelihoods'!N28="",Scale!$B$12,IFERROR(INDEX(Scale!$B$5:$B$10,MATCH('Check likelihoods'!N28,Scale!$A$5:$A$10,0)),Scale!$B$12))</f>
        <v>0.05</v>
      </c>
      <c r="O28" s="25">
        <f>IF('Check likelihoods'!O28="",Scale!$B$12,IFERROR(INDEX(Scale!$B$5:$B$10,MATCH('Check likelihoods'!O28,Scale!$A$5:$A$10,0)),Scale!$B$12))</f>
        <v>0.05</v>
      </c>
      <c r="P28" s="25">
        <f>IF('Check likelihoods'!P28="",Scale!$B$12,IFERROR(INDEX(Scale!$B$5:$B$10,MATCH('Check likelihoods'!P28,Scale!$A$5:$A$10,0)),Scale!$B$12))</f>
        <v>0.05</v>
      </c>
      <c r="Q28" s="25">
        <f>IF('Check likelihoods'!Q28="",Scale!$B$12,IFERROR(INDEX(Scale!$B$5:$B$10,MATCH('Check likelihoods'!Q28,Scale!$A$5:$A$10,0)),Scale!$B$12))</f>
        <v>0.05</v>
      </c>
      <c r="R28" s="25">
        <f>IF('Check likelihoods'!R28="",Scale!$B$12,IFERROR(INDEX(Scale!$B$5:$B$10,MATCH('Check likelihoods'!R28,Scale!$A$5:$A$10,0)),Scale!$B$12))</f>
        <v>0.05</v>
      </c>
      <c r="S28" s="25">
        <f>IF('Check likelihoods'!S28="",Scale!$B$12,IFERROR(INDEX(Scale!$B$5:$B$10,MATCH('Check likelihoods'!S28,Scale!$A$5:$A$10,0)),Scale!$B$12))</f>
        <v>0.05</v>
      </c>
      <c r="T28" s="25">
        <f>IF('Check likelihoods'!T28="",Scale!$B$12,IFERROR(INDEX(Scale!$B$5:$B$10,MATCH('Check likelihoods'!T28,Scale!$A$5:$A$10,0)),Scale!$B$12))</f>
        <v>0.05</v>
      </c>
      <c r="U28" s="25">
        <f>IF('Check likelihoods'!U28="",Scale!$B$12,IFERROR(INDEX(Scale!$B$5:$B$10,MATCH('Check likelihoods'!U28,Scale!$A$5:$A$10,0)),Scale!$B$12))</f>
        <v>0.05</v>
      </c>
      <c r="V28" s="25">
        <f>IF('Check likelihoods'!V28="",Scale!$B$12,IFERROR(INDEX(Scale!$B$5:$B$10,MATCH('Check likelihoods'!V28,Scale!$A$5:$A$10,0)),Scale!$B$12))</f>
        <v>0.05</v>
      </c>
      <c r="W28" s="25">
        <f>IF('Check likelihoods'!W28="",Scale!$B$12,IFERROR(INDEX(Scale!$B$5:$B$10,MATCH('Check likelihoods'!W28,Scale!$A$5:$A$10,0)),Scale!$B$12))</f>
        <v>0.05</v>
      </c>
    </row>
    <row r="29" spans="1:23" x14ac:dyDescent="0.45">
      <c r="A29" s="13" t="str">
        <f>'Check likelihoods'!A29</f>
        <v>C24</v>
      </c>
      <c r="B29" s="13" t="str">
        <f>'Check likelihoods'!B29</f>
        <v/>
      </c>
      <c r="C29" s="13" t="str">
        <f>'Check likelihoods'!C29</f>
        <v/>
      </c>
      <c r="D29" s="25">
        <f>IF('Check likelihoods'!D29="",Scale!$B$12,IFERROR(INDEX(Scale!$B$5:$B$10,MATCH('Check likelihoods'!D29,Scale!$A$5:$A$10,0)),Scale!$B$12))</f>
        <v>0.05</v>
      </c>
      <c r="E29" s="25">
        <f>IF('Check likelihoods'!E29="",Scale!$B$12,IFERROR(INDEX(Scale!$B$5:$B$10,MATCH('Check likelihoods'!E29,Scale!$A$5:$A$10,0)),Scale!$B$12))</f>
        <v>0.05</v>
      </c>
      <c r="F29" s="25">
        <f>IF('Check likelihoods'!F29="",Scale!$B$12,IFERROR(INDEX(Scale!$B$5:$B$10,MATCH('Check likelihoods'!F29,Scale!$A$5:$A$10,0)),Scale!$B$12))</f>
        <v>0.05</v>
      </c>
      <c r="G29" s="25">
        <f>IF('Check likelihoods'!G29="",Scale!$B$12,IFERROR(INDEX(Scale!$B$5:$B$10,MATCH('Check likelihoods'!G29,Scale!$A$5:$A$10,0)),Scale!$B$12))</f>
        <v>0.05</v>
      </c>
      <c r="H29" s="25">
        <f>IF('Check likelihoods'!H29="",Scale!$B$12,IFERROR(INDEX(Scale!$B$5:$B$10,MATCH('Check likelihoods'!H29,Scale!$A$5:$A$10,0)),Scale!$B$12))</f>
        <v>0.05</v>
      </c>
      <c r="I29" s="25">
        <f>IF('Check likelihoods'!I29="",Scale!$B$12,IFERROR(INDEX(Scale!$B$5:$B$10,MATCH('Check likelihoods'!I29,Scale!$A$5:$A$10,0)),Scale!$B$12))</f>
        <v>0.05</v>
      </c>
      <c r="J29" s="25">
        <f>IF('Check likelihoods'!J29="",Scale!$B$12,IFERROR(INDEX(Scale!$B$5:$B$10,MATCH('Check likelihoods'!J29,Scale!$A$5:$A$10,0)),Scale!$B$12))</f>
        <v>0.05</v>
      </c>
      <c r="K29" s="25">
        <f>IF('Check likelihoods'!K29="",Scale!$B$12,IFERROR(INDEX(Scale!$B$5:$B$10,MATCH('Check likelihoods'!K29,Scale!$A$5:$A$10,0)),Scale!$B$12))</f>
        <v>0.05</v>
      </c>
      <c r="L29" s="25">
        <f>IF('Check likelihoods'!L29="",Scale!$B$12,IFERROR(INDEX(Scale!$B$5:$B$10,MATCH('Check likelihoods'!L29,Scale!$A$5:$A$10,0)),Scale!$B$12))</f>
        <v>0.05</v>
      </c>
      <c r="M29" s="25">
        <f>IF('Check likelihoods'!M29="",Scale!$B$12,IFERROR(INDEX(Scale!$B$5:$B$10,MATCH('Check likelihoods'!M29,Scale!$A$5:$A$10,0)),Scale!$B$12))</f>
        <v>0.05</v>
      </c>
      <c r="N29" s="25">
        <f>IF('Check likelihoods'!N29="",Scale!$B$12,IFERROR(INDEX(Scale!$B$5:$B$10,MATCH('Check likelihoods'!N29,Scale!$A$5:$A$10,0)),Scale!$B$12))</f>
        <v>0.05</v>
      </c>
      <c r="O29" s="25">
        <f>IF('Check likelihoods'!O29="",Scale!$B$12,IFERROR(INDEX(Scale!$B$5:$B$10,MATCH('Check likelihoods'!O29,Scale!$A$5:$A$10,0)),Scale!$B$12))</f>
        <v>0.05</v>
      </c>
      <c r="P29" s="25">
        <f>IF('Check likelihoods'!P29="",Scale!$B$12,IFERROR(INDEX(Scale!$B$5:$B$10,MATCH('Check likelihoods'!P29,Scale!$A$5:$A$10,0)),Scale!$B$12))</f>
        <v>0.05</v>
      </c>
      <c r="Q29" s="25">
        <f>IF('Check likelihoods'!Q29="",Scale!$B$12,IFERROR(INDEX(Scale!$B$5:$B$10,MATCH('Check likelihoods'!Q29,Scale!$A$5:$A$10,0)),Scale!$B$12))</f>
        <v>0.05</v>
      </c>
      <c r="R29" s="25">
        <f>IF('Check likelihoods'!R29="",Scale!$B$12,IFERROR(INDEX(Scale!$B$5:$B$10,MATCH('Check likelihoods'!R29,Scale!$A$5:$A$10,0)),Scale!$B$12))</f>
        <v>0.05</v>
      </c>
      <c r="S29" s="25">
        <f>IF('Check likelihoods'!S29="",Scale!$B$12,IFERROR(INDEX(Scale!$B$5:$B$10,MATCH('Check likelihoods'!S29,Scale!$A$5:$A$10,0)),Scale!$B$12))</f>
        <v>0.05</v>
      </c>
      <c r="T29" s="25">
        <f>IF('Check likelihoods'!T29="",Scale!$B$12,IFERROR(INDEX(Scale!$B$5:$B$10,MATCH('Check likelihoods'!T29,Scale!$A$5:$A$10,0)),Scale!$B$12))</f>
        <v>0.05</v>
      </c>
      <c r="U29" s="25">
        <f>IF('Check likelihoods'!U29="",Scale!$B$12,IFERROR(INDEX(Scale!$B$5:$B$10,MATCH('Check likelihoods'!U29,Scale!$A$5:$A$10,0)),Scale!$B$12))</f>
        <v>0.05</v>
      </c>
      <c r="V29" s="25">
        <f>IF('Check likelihoods'!V29="",Scale!$B$12,IFERROR(INDEX(Scale!$B$5:$B$10,MATCH('Check likelihoods'!V29,Scale!$A$5:$A$10,0)),Scale!$B$12))</f>
        <v>0.05</v>
      </c>
      <c r="W29" s="25">
        <f>IF('Check likelihoods'!W29="",Scale!$B$12,IFERROR(INDEX(Scale!$B$5:$B$10,MATCH('Check likelihoods'!W29,Scale!$A$5:$A$10,0)),Scale!$B$12))</f>
        <v>0.05</v>
      </c>
    </row>
    <row r="30" spans="1:23" x14ac:dyDescent="0.45">
      <c r="A30" s="13" t="str">
        <f>'Check likelihoods'!A30</f>
        <v>C25</v>
      </c>
      <c r="B30" s="13" t="str">
        <f>'Check likelihoods'!B30</f>
        <v/>
      </c>
      <c r="C30" s="13" t="str">
        <f>'Check likelihoods'!C30</f>
        <v/>
      </c>
      <c r="D30" s="25">
        <f>IF('Check likelihoods'!D30="",Scale!$B$12,IFERROR(INDEX(Scale!$B$5:$B$10,MATCH('Check likelihoods'!D30,Scale!$A$5:$A$10,0)),Scale!$B$12))</f>
        <v>0.05</v>
      </c>
      <c r="E30" s="25">
        <f>IF('Check likelihoods'!E30="",Scale!$B$12,IFERROR(INDEX(Scale!$B$5:$B$10,MATCH('Check likelihoods'!E30,Scale!$A$5:$A$10,0)),Scale!$B$12))</f>
        <v>0.05</v>
      </c>
      <c r="F30" s="25">
        <f>IF('Check likelihoods'!F30="",Scale!$B$12,IFERROR(INDEX(Scale!$B$5:$B$10,MATCH('Check likelihoods'!F30,Scale!$A$5:$A$10,0)),Scale!$B$12))</f>
        <v>0.05</v>
      </c>
      <c r="G30" s="25">
        <f>IF('Check likelihoods'!G30="",Scale!$B$12,IFERROR(INDEX(Scale!$B$5:$B$10,MATCH('Check likelihoods'!G30,Scale!$A$5:$A$10,0)),Scale!$B$12))</f>
        <v>0.05</v>
      </c>
      <c r="H30" s="25">
        <f>IF('Check likelihoods'!H30="",Scale!$B$12,IFERROR(INDEX(Scale!$B$5:$B$10,MATCH('Check likelihoods'!H30,Scale!$A$5:$A$10,0)),Scale!$B$12))</f>
        <v>0.05</v>
      </c>
      <c r="I30" s="25">
        <f>IF('Check likelihoods'!I30="",Scale!$B$12,IFERROR(INDEX(Scale!$B$5:$B$10,MATCH('Check likelihoods'!I30,Scale!$A$5:$A$10,0)),Scale!$B$12))</f>
        <v>0.05</v>
      </c>
      <c r="J30" s="25">
        <f>IF('Check likelihoods'!J30="",Scale!$B$12,IFERROR(INDEX(Scale!$B$5:$B$10,MATCH('Check likelihoods'!J30,Scale!$A$5:$A$10,0)),Scale!$B$12))</f>
        <v>0.05</v>
      </c>
      <c r="K30" s="25">
        <f>IF('Check likelihoods'!K30="",Scale!$B$12,IFERROR(INDEX(Scale!$B$5:$B$10,MATCH('Check likelihoods'!K30,Scale!$A$5:$A$10,0)),Scale!$B$12))</f>
        <v>0.05</v>
      </c>
      <c r="L30" s="25">
        <f>IF('Check likelihoods'!L30="",Scale!$B$12,IFERROR(INDEX(Scale!$B$5:$B$10,MATCH('Check likelihoods'!L30,Scale!$A$5:$A$10,0)),Scale!$B$12))</f>
        <v>0.05</v>
      </c>
      <c r="M30" s="25">
        <f>IF('Check likelihoods'!M30="",Scale!$B$12,IFERROR(INDEX(Scale!$B$5:$B$10,MATCH('Check likelihoods'!M30,Scale!$A$5:$A$10,0)),Scale!$B$12))</f>
        <v>0.05</v>
      </c>
      <c r="N30" s="25">
        <f>IF('Check likelihoods'!N30="",Scale!$B$12,IFERROR(INDEX(Scale!$B$5:$B$10,MATCH('Check likelihoods'!N30,Scale!$A$5:$A$10,0)),Scale!$B$12))</f>
        <v>0.05</v>
      </c>
      <c r="O30" s="25">
        <f>IF('Check likelihoods'!O30="",Scale!$B$12,IFERROR(INDEX(Scale!$B$5:$B$10,MATCH('Check likelihoods'!O30,Scale!$A$5:$A$10,0)),Scale!$B$12))</f>
        <v>0.05</v>
      </c>
      <c r="P30" s="25">
        <f>IF('Check likelihoods'!P30="",Scale!$B$12,IFERROR(INDEX(Scale!$B$5:$B$10,MATCH('Check likelihoods'!P30,Scale!$A$5:$A$10,0)),Scale!$B$12))</f>
        <v>0.05</v>
      </c>
      <c r="Q30" s="25">
        <f>IF('Check likelihoods'!Q30="",Scale!$B$12,IFERROR(INDEX(Scale!$B$5:$B$10,MATCH('Check likelihoods'!Q30,Scale!$A$5:$A$10,0)),Scale!$B$12))</f>
        <v>0.05</v>
      </c>
      <c r="R30" s="25">
        <f>IF('Check likelihoods'!R30="",Scale!$B$12,IFERROR(INDEX(Scale!$B$5:$B$10,MATCH('Check likelihoods'!R30,Scale!$A$5:$A$10,0)),Scale!$B$12))</f>
        <v>0.05</v>
      </c>
      <c r="S30" s="25">
        <f>IF('Check likelihoods'!S30="",Scale!$B$12,IFERROR(INDEX(Scale!$B$5:$B$10,MATCH('Check likelihoods'!S30,Scale!$A$5:$A$10,0)),Scale!$B$12))</f>
        <v>0.05</v>
      </c>
      <c r="T30" s="25">
        <f>IF('Check likelihoods'!T30="",Scale!$B$12,IFERROR(INDEX(Scale!$B$5:$B$10,MATCH('Check likelihoods'!T30,Scale!$A$5:$A$10,0)),Scale!$B$12))</f>
        <v>0.05</v>
      </c>
      <c r="U30" s="25">
        <f>IF('Check likelihoods'!U30="",Scale!$B$12,IFERROR(INDEX(Scale!$B$5:$B$10,MATCH('Check likelihoods'!U30,Scale!$A$5:$A$10,0)),Scale!$B$12))</f>
        <v>0.05</v>
      </c>
      <c r="V30" s="25">
        <f>IF('Check likelihoods'!V30="",Scale!$B$12,IFERROR(INDEX(Scale!$B$5:$B$10,MATCH('Check likelihoods'!V30,Scale!$A$5:$A$10,0)),Scale!$B$12))</f>
        <v>0.05</v>
      </c>
      <c r="W30" s="25">
        <f>IF('Check likelihoods'!W30="",Scale!$B$12,IFERROR(INDEX(Scale!$B$5:$B$10,MATCH('Check likelihoods'!W30,Scale!$A$5:$A$10,0)),Scale!$B$12))</f>
        <v>0.05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0"/>
  <sheetViews>
    <sheetView workbookViewId="0">
      <pane xSplit="3" ySplit="5" topLeftCell="D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9" customWidth="1"/>
    <col min="2" max="2" width="15" customWidth="1"/>
    <col min="3" max="3" width="28" customWidth="1"/>
    <col min="4" max="18" width="6" customWidth="1"/>
  </cols>
  <sheetData>
    <row r="1" spans="1:18" ht="17.649999999999999" x14ac:dyDescent="0.5">
      <c r="A1" s="1" t="s">
        <v>195</v>
      </c>
    </row>
    <row r="2" spans="1:18" x14ac:dyDescent="0.45">
      <c r="A2" s="2" t="s">
        <v>196</v>
      </c>
    </row>
    <row r="4" spans="1:18" ht="150" customHeight="1" x14ac:dyDescent="0.45">
      <c r="A4" s="11" t="s">
        <v>69</v>
      </c>
      <c r="B4" s="11" t="s">
        <v>70</v>
      </c>
      <c r="C4" s="11" t="s">
        <v>71</v>
      </c>
      <c r="D4" s="23" t="str">
        <f>'Symptom likelihoods'!D4</f>
        <v>S01</v>
      </c>
      <c r="E4" s="23" t="str">
        <f>'Symptom likelihoods'!E4</f>
        <v>S02</v>
      </c>
      <c r="F4" s="23" t="str">
        <f>'Symptom likelihoods'!F4</f>
        <v>S03</v>
      </c>
      <c r="G4" s="23" t="str">
        <f>'Symptom likelihoods'!G4</f>
        <v>S04</v>
      </c>
      <c r="H4" s="23" t="str">
        <f>'Symptom likelihoods'!H4</f>
        <v>S05</v>
      </c>
      <c r="I4" s="23" t="str">
        <f>'Symptom likelihoods'!I4</f>
        <v>S06</v>
      </c>
      <c r="J4" s="23" t="str">
        <f>'Symptom likelihoods'!J4</f>
        <v>S07</v>
      </c>
      <c r="K4" s="23" t="str">
        <f>'Symptom likelihoods'!K4</f>
        <v>S08</v>
      </c>
      <c r="L4" s="23" t="str">
        <f>'Symptom likelihoods'!L4</f>
        <v>S09</v>
      </c>
      <c r="M4" s="23" t="str">
        <f>'Symptom likelihoods'!M4</f>
        <v>S10</v>
      </c>
      <c r="N4" s="23" t="str">
        <f>'Symptom likelihoods'!N4</f>
        <v>S11</v>
      </c>
      <c r="O4" s="23" t="str">
        <f>'Symptom likelihoods'!O4</f>
        <v>S12</v>
      </c>
      <c r="P4" s="23" t="str">
        <f>'Symptom likelihoods'!P4</f>
        <v>S13</v>
      </c>
      <c r="Q4" s="23" t="str">
        <f>'Symptom likelihoods'!Q4</f>
        <v>S14</v>
      </c>
      <c r="R4" s="23" t="str">
        <f>'Symptom likelihoods'!R4</f>
        <v>S15</v>
      </c>
    </row>
    <row r="6" spans="1:18" x14ac:dyDescent="0.45">
      <c r="A6" s="13" t="str">
        <f>'Symptom likelihoods'!A6</f>
        <v>C01</v>
      </c>
      <c r="B6" s="13" t="str">
        <f>'Symptom likelihoods'!B6</f>
        <v/>
      </c>
      <c r="C6" s="13" t="str">
        <f>'Symptom likelihoods'!C6</f>
        <v/>
      </c>
      <c r="D6" s="25">
        <f>IF('Symptom likelihoods'!D6="",Scale!$B$12,IFERROR(INDEX(Scale!$B$5:$B$10,MATCH('Symptom likelihoods'!D6,Scale!$A$5:$A$10,0)),Scale!$B$12))</f>
        <v>0.05</v>
      </c>
      <c r="E6" s="25">
        <f>IF('Symptom likelihoods'!E6="",Scale!$B$12,IFERROR(INDEX(Scale!$B$5:$B$10,MATCH('Symptom likelihoods'!E6,Scale!$A$5:$A$10,0)),Scale!$B$12))</f>
        <v>0.05</v>
      </c>
      <c r="F6" s="25">
        <f>IF('Symptom likelihoods'!F6="",Scale!$B$12,IFERROR(INDEX(Scale!$B$5:$B$10,MATCH('Symptom likelihoods'!F6,Scale!$A$5:$A$10,0)),Scale!$B$12))</f>
        <v>0.05</v>
      </c>
      <c r="G6" s="25">
        <f>IF('Symptom likelihoods'!G6="",Scale!$B$12,IFERROR(INDEX(Scale!$B$5:$B$10,MATCH('Symptom likelihoods'!G6,Scale!$A$5:$A$10,0)),Scale!$B$12))</f>
        <v>0.05</v>
      </c>
      <c r="H6" s="25">
        <f>IF('Symptom likelihoods'!H6="",Scale!$B$12,IFERROR(INDEX(Scale!$B$5:$B$10,MATCH('Symptom likelihoods'!H6,Scale!$A$5:$A$10,0)),Scale!$B$12))</f>
        <v>0.05</v>
      </c>
      <c r="I6" s="25">
        <f>IF('Symptom likelihoods'!I6="",Scale!$B$12,IFERROR(INDEX(Scale!$B$5:$B$10,MATCH('Symptom likelihoods'!I6,Scale!$A$5:$A$10,0)),Scale!$B$12))</f>
        <v>0.05</v>
      </c>
      <c r="J6" s="25">
        <f>IF('Symptom likelihoods'!J6="",Scale!$B$12,IFERROR(INDEX(Scale!$B$5:$B$10,MATCH('Symptom likelihoods'!J6,Scale!$A$5:$A$10,0)),Scale!$B$12))</f>
        <v>0.05</v>
      </c>
      <c r="K6" s="25">
        <f>IF('Symptom likelihoods'!K6="",Scale!$B$12,IFERROR(INDEX(Scale!$B$5:$B$10,MATCH('Symptom likelihoods'!K6,Scale!$A$5:$A$10,0)),Scale!$B$12))</f>
        <v>0.05</v>
      </c>
      <c r="L6" s="25">
        <f>IF('Symptom likelihoods'!L6="",Scale!$B$12,IFERROR(INDEX(Scale!$B$5:$B$10,MATCH('Symptom likelihoods'!L6,Scale!$A$5:$A$10,0)),Scale!$B$12))</f>
        <v>0.05</v>
      </c>
      <c r="M6" s="25">
        <f>IF('Symptom likelihoods'!M6="",Scale!$B$12,IFERROR(INDEX(Scale!$B$5:$B$10,MATCH('Symptom likelihoods'!M6,Scale!$A$5:$A$10,0)),Scale!$B$12))</f>
        <v>0.05</v>
      </c>
      <c r="N6" s="25">
        <f>IF('Symptom likelihoods'!N6="",Scale!$B$12,IFERROR(INDEX(Scale!$B$5:$B$10,MATCH('Symptom likelihoods'!N6,Scale!$A$5:$A$10,0)),Scale!$B$12))</f>
        <v>0.05</v>
      </c>
      <c r="O6" s="25">
        <f>IF('Symptom likelihoods'!O6="",Scale!$B$12,IFERROR(INDEX(Scale!$B$5:$B$10,MATCH('Symptom likelihoods'!O6,Scale!$A$5:$A$10,0)),Scale!$B$12))</f>
        <v>0.05</v>
      </c>
      <c r="P6" s="25">
        <f>IF('Symptom likelihoods'!P6="",Scale!$B$12,IFERROR(INDEX(Scale!$B$5:$B$10,MATCH('Symptom likelihoods'!P6,Scale!$A$5:$A$10,0)),Scale!$B$12))</f>
        <v>0.05</v>
      </c>
      <c r="Q6" s="25">
        <f>IF('Symptom likelihoods'!Q6="",Scale!$B$12,IFERROR(INDEX(Scale!$B$5:$B$10,MATCH('Symptom likelihoods'!Q6,Scale!$A$5:$A$10,0)),Scale!$B$12))</f>
        <v>0.05</v>
      </c>
      <c r="R6" s="25">
        <f>IF('Symptom likelihoods'!R6="",Scale!$B$12,IFERROR(INDEX(Scale!$B$5:$B$10,MATCH('Symptom likelihoods'!R6,Scale!$A$5:$A$10,0)),Scale!$B$12))</f>
        <v>0.05</v>
      </c>
    </row>
    <row r="7" spans="1:18" x14ac:dyDescent="0.45">
      <c r="A7" s="13" t="str">
        <f>'Symptom likelihoods'!A7</f>
        <v>C02</v>
      </c>
      <c r="B7" s="13" t="str">
        <f>'Symptom likelihoods'!B7</f>
        <v/>
      </c>
      <c r="C7" s="13" t="str">
        <f>'Symptom likelihoods'!C7</f>
        <v/>
      </c>
      <c r="D7" s="25">
        <f>IF('Symptom likelihoods'!D7="",Scale!$B$12,IFERROR(INDEX(Scale!$B$5:$B$10,MATCH('Symptom likelihoods'!D7,Scale!$A$5:$A$10,0)),Scale!$B$12))</f>
        <v>0.05</v>
      </c>
      <c r="E7" s="25">
        <f>IF('Symptom likelihoods'!E7="",Scale!$B$12,IFERROR(INDEX(Scale!$B$5:$B$10,MATCH('Symptom likelihoods'!E7,Scale!$A$5:$A$10,0)),Scale!$B$12))</f>
        <v>0.05</v>
      </c>
      <c r="F7" s="25">
        <f>IF('Symptom likelihoods'!F7="",Scale!$B$12,IFERROR(INDEX(Scale!$B$5:$B$10,MATCH('Symptom likelihoods'!F7,Scale!$A$5:$A$10,0)),Scale!$B$12))</f>
        <v>0.05</v>
      </c>
      <c r="G7" s="25">
        <f>IF('Symptom likelihoods'!G7="",Scale!$B$12,IFERROR(INDEX(Scale!$B$5:$B$10,MATCH('Symptom likelihoods'!G7,Scale!$A$5:$A$10,0)),Scale!$B$12))</f>
        <v>0.05</v>
      </c>
      <c r="H7" s="25">
        <f>IF('Symptom likelihoods'!H7="",Scale!$B$12,IFERROR(INDEX(Scale!$B$5:$B$10,MATCH('Symptom likelihoods'!H7,Scale!$A$5:$A$10,0)),Scale!$B$12))</f>
        <v>0.05</v>
      </c>
      <c r="I7" s="25">
        <f>IF('Symptom likelihoods'!I7="",Scale!$B$12,IFERROR(INDEX(Scale!$B$5:$B$10,MATCH('Symptom likelihoods'!I7,Scale!$A$5:$A$10,0)),Scale!$B$12))</f>
        <v>0.05</v>
      </c>
      <c r="J7" s="25">
        <f>IF('Symptom likelihoods'!J7="",Scale!$B$12,IFERROR(INDEX(Scale!$B$5:$B$10,MATCH('Symptom likelihoods'!J7,Scale!$A$5:$A$10,0)),Scale!$B$12))</f>
        <v>0.05</v>
      </c>
      <c r="K7" s="25">
        <f>IF('Symptom likelihoods'!K7="",Scale!$B$12,IFERROR(INDEX(Scale!$B$5:$B$10,MATCH('Symptom likelihoods'!K7,Scale!$A$5:$A$10,0)),Scale!$B$12))</f>
        <v>0.05</v>
      </c>
      <c r="L7" s="25">
        <f>IF('Symptom likelihoods'!L7="",Scale!$B$12,IFERROR(INDEX(Scale!$B$5:$B$10,MATCH('Symptom likelihoods'!L7,Scale!$A$5:$A$10,0)),Scale!$B$12))</f>
        <v>0.05</v>
      </c>
      <c r="M7" s="25">
        <f>IF('Symptom likelihoods'!M7="",Scale!$B$12,IFERROR(INDEX(Scale!$B$5:$B$10,MATCH('Symptom likelihoods'!M7,Scale!$A$5:$A$10,0)),Scale!$B$12))</f>
        <v>0.05</v>
      </c>
      <c r="N7" s="25">
        <f>IF('Symptom likelihoods'!N7="",Scale!$B$12,IFERROR(INDEX(Scale!$B$5:$B$10,MATCH('Symptom likelihoods'!N7,Scale!$A$5:$A$10,0)),Scale!$B$12))</f>
        <v>0.05</v>
      </c>
      <c r="O7" s="25">
        <f>IF('Symptom likelihoods'!O7="",Scale!$B$12,IFERROR(INDEX(Scale!$B$5:$B$10,MATCH('Symptom likelihoods'!O7,Scale!$A$5:$A$10,0)),Scale!$B$12))</f>
        <v>0.05</v>
      </c>
      <c r="P7" s="25">
        <f>IF('Symptom likelihoods'!P7="",Scale!$B$12,IFERROR(INDEX(Scale!$B$5:$B$10,MATCH('Symptom likelihoods'!P7,Scale!$A$5:$A$10,0)),Scale!$B$12))</f>
        <v>0.05</v>
      </c>
      <c r="Q7" s="25">
        <f>IF('Symptom likelihoods'!Q7="",Scale!$B$12,IFERROR(INDEX(Scale!$B$5:$B$10,MATCH('Symptom likelihoods'!Q7,Scale!$A$5:$A$10,0)),Scale!$B$12))</f>
        <v>0.05</v>
      </c>
      <c r="R7" s="25">
        <f>IF('Symptom likelihoods'!R7="",Scale!$B$12,IFERROR(INDEX(Scale!$B$5:$B$10,MATCH('Symptom likelihoods'!R7,Scale!$A$5:$A$10,0)),Scale!$B$12))</f>
        <v>0.05</v>
      </c>
    </row>
    <row r="8" spans="1:18" x14ac:dyDescent="0.45">
      <c r="A8" s="13" t="str">
        <f>'Symptom likelihoods'!A8</f>
        <v>C03</v>
      </c>
      <c r="B8" s="13" t="str">
        <f>'Symptom likelihoods'!B8</f>
        <v/>
      </c>
      <c r="C8" s="13" t="str">
        <f>'Symptom likelihoods'!C8</f>
        <v/>
      </c>
      <c r="D8" s="25">
        <f>IF('Symptom likelihoods'!D8="",Scale!$B$12,IFERROR(INDEX(Scale!$B$5:$B$10,MATCH('Symptom likelihoods'!D8,Scale!$A$5:$A$10,0)),Scale!$B$12))</f>
        <v>0.05</v>
      </c>
      <c r="E8" s="25">
        <f>IF('Symptom likelihoods'!E8="",Scale!$B$12,IFERROR(INDEX(Scale!$B$5:$B$10,MATCH('Symptom likelihoods'!E8,Scale!$A$5:$A$10,0)),Scale!$B$12))</f>
        <v>0.05</v>
      </c>
      <c r="F8" s="25">
        <f>IF('Symptom likelihoods'!F8="",Scale!$B$12,IFERROR(INDEX(Scale!$B$5:$B$10,MATCH('Symptom likelihoods'!F8,Scale!$A$5:$A$10,0)),Scale!$B$12))</f>
        <v>0.05</v>
      </c>
      <c r="G8" s="25">
        <f>IF('Symptom likelihoods'!G8="",Scale!$B$12,IFERROR(INDEX(Scale!$B$5:$B$10,MATCH('Symptom likelihoods'!G8,Scale!$A$5:$A$10,0)),Scale!$B$12))</f>
        <v>0.05</v>
      </c>
      <c r="H8" s="25">
        <f>IF('Symptom likelihoods'!H8="",Scale!$B$12,IFERROR(INDEX(Scale!$B$5:$B$10,MATCH('Symptom likelihoods'!H8,Scale!$A$5:$A$10,0)),Scale!$B$12))</f>
        <v>0.05</v>
      </c>
      <c r="I8" s="25">
        <f>IF('Symptom likelihoods'!I8="",Scale!$B$12,IFERROR(INDEX(Scale!$B$5:$B$10,MATCH('Symptom likelihoods'!I8,Scale!$A$5:$A$10,0)),Scale!$B$12))</f>
        <v>0.05</v>
      </c>
      <c r="J8" s="25">
        <f>IF('Symptom likelihoods'!J8="",Scale!$B$12,IFERROR(INDEX(Scale!$B$5:$B$10,MATCH('Symptom likelihoods'!J8,Scale!$A$5:$A$10,0)),Scale!$B$12))</f>
        <v>0.05</v>
      </c>
      <c r="K8" s="25">
        <f>IF('Symptom likelihoods'!K8="",Scale!$B$12,IFERROR(INDEX(Scale!$B$5:$B$10,MATCH('Symptom likelihoods'!K8,Scale!$A$5:$A$10,0)),Scale!$B$12))</f>
        <v>0.05</v>
      </c>
      <c r="L8" s="25">
        <f>IF('Symptom likelihoods'!L8="",Scale!$B$12,IFERROR(INDEX(Scale!$B$5:$B$10,MATCH('Symptom likelihoods'!L8,Scale!$A$5:$A$10,0)),Scale!$B$12))</f>
        <v>0.05</v>
      </c>
      <c r="M8" s="25">
        <f>IF('Symptom likelihoods'!M8="",Scale!$B$12,IFERROR(INDEX(Scale!$B$5:$B$10,MATCH('Symptom likelihoods'!M8,Scale!$A$5:$A$10,0)),Scale!$B$12))</f>
        <v>0.05</v>
      </c>
      <c r="N8" s="25">
        <f>IF('Symptom likelihoods'!N8="",Scale!$B$12,IFERROR(INDEX(Scale!$B$5:$B$10,MATCH('Symptom likelihoods'!N8,Scale!$A$5:$A$10,0)),Scale!$B$12))</f>
        <v>0.05</v>
      </c>
      <c r="O8" s="25">
        <f>IF('Symptom likelihoods'!O8="",Scale!$B$12,IFERROR(INDEX(Scale!$B$5:$B$10,MATCH('Symptom likelihoods'!O8,Scale!$A$5:$A$10,0)),Scale!$B$12))</f>
        <v>0.05</v>
      </c>
      <c r="P8" s="25">
        <f>IF('Symptom likelihoods'!P8="",Scale!$B$12,IFERROR(INDEX(Scale!$B$5:$B$10,MATCH('Symptom likelihoods'!P8,Scale!$A$5:$A$10,0)),Scale!$B$12))</f>
        <v>0.05</v>
      </c>
      <c r="Q8" s="25">
        <f>IF('Symptom likelihoods'!Q8="",Scale!$B$12,IFERROR(INDEX(Scale!$B$5:$B$10,MATCH('Symptom likelihoods'!Q8,Scale!$A$5:$A$10,0)),Scale!$B$12))</f>
        <v>0.05</v>
      </c>
      <c r="R8" s="25">
        <f>IF('Symptom likelihoods'!R8="",Scale!$B$12,IFERROR(INDEX(Scale!$B$5:$B$10,MATCH('Symptom likelihoods'!R8,Scale!$A$5:$A$10,0)),Scale!$B$12))</f>
        <v>0.05</v>
      </c>
    </row>
    <row r="9" spans="1:18" x14ac:dyDescent="0.45">
      <c r="A9" s="13" t="str">
        <f>'Symptom likelihoods'!A9</f>
        <v>C04</v>
      </c>
      <c r="B9" s="13" t="str">
        <f>'Symptom likelihoods'!B9</f>
        <v/>
      </c>
      <c r="C9" s="13" t="str">
        <f>'Symptom likelihoods'!C9</f>
        <v/>
      </c>
      <c r="D9" s="25">
        <f>IF('Symptom likelihoods'!D9="",Scale!$B$12,IFERROR(INDEX(Scale!$B$5:$B$10,MATCH('Symptom likelihoods'!D9,Scale!$A$5:$A$10,0)),Scale!$B$12))</f>
        <v>0.05</v>
      </c>
      <c r="E9" s="25">
        <f>IF('Symptom likelihoods'!E9="",Scale!$B$12,IFERROR(INDEX(Scale!$B$5:$B$10,MATCH('Symptom likelihoods'!E9,Scale!$A$5:$A$10,0)),Scale!$B$12))</f>
        <v>0.05</v>
      </c>
      <c r="F9" s="25">
        <f>IF('Symptom likelihoods'!F9="",Scale!$B$12,IFERROR(INDEX(Scale!$B$5:$B$10,MATCH('Symptom likelihoods'!F9,Scale!$A$5:$A$10,0)),Scale!$B$12))</f>
        <v>0.05</v>
      </c>
      <c r="G9" s="25">
        <f>IF('Symptom likelihoods'!G9="",Scale!$B$12,IFERROR(INDEX(Scale!$B$5:$B$10,MATCH('Symptom likelihoods'!G9,Scale!$A$5:$A$10,0)),Scale!$B$12))</f>
        <v>0.05</v>
      </c>
      <c r="H9" s="25">
        <f>IF('Symptom likelihoods'!H9="",Scale!$B$12,IFERROR(INDEX(Scale!$B$5:$B$10,MATCH('Symptom likelihoods'!H9,Scale!$A$5:$A$10,0)),Scale!$B$12))</f>
        <v>0.05</v>
      </c>
      <c r="I9" s="25">
        <f>IF('Symptom likelihoods'!I9="",Scale!$B$12,IFERROR(INDEX(Scale!$B$5:$B$10,MATCH('Symptom likelihoods'!I9,Scale!$A$5:$A$10,0)),Scale!$B$12))</f>
        <v>0.05</v>
      </c>
      <c r="J9" s="25">
        <f>IF('Symptom likelihoods'!J9="",Scale!$B$12,IFERROR(INDEX(Scale!$B$5:$B$10,MATCH('Symptom likelihoods'!J9,Scale!$A$5:$A$10,0)),Scale!$B$12))</f>
        <v>0.05</v>
      </c>
      <c r="K9" s="25">
        <f>IF('Symptom likelihoods'!K9="",Scale!$B$12,IFERROR(INDEX(Scale!$B$5:$B$10,MATCH('Symptom likelihoods'!K9,Scale!$A$5:$A$10,0)),Scale!$B$12))</f>
        <v>0.05</v>
      </c>
      <c r="L9" s="25">
        <f>IF('Symptom likelihoods'!L9="",Scale!$B$12,IFERROR(INDEX(Scale!$B$5:$B$10,MATCH('Symptom likelihoods'!L9,Scale!$A$5:$A$10,0)),Scale!$B$12))</f>
        <v>0.05</v>
      </c>
      <c r="M9" s="25">
        <f>IF('Symptom likelihoods'!M9="",Scale!$B$12,IFERROR(INDEX(Scale!$B$5:$B$10,MATCH('Symptom likelihoods'!M9,Scale!$A$5:$A$10,0)),Scale!$B$12))</f>
        <v>0.05</v>
      </c>
      <c r="N9" s="25">
        <f>IF('Symptom likelihoods'!N9="",Scale!$B$12,IFERROR(INDEX(Scale!$B$5:$B$10,MATCH('Symptom likelihoods'!N9,Scale!$A$5:$A$10,0)),Scale!$B$12))</f>
        <v>0.05</v>
      </c>
      <c r="O9" s="25">
        <f>IF('Symptom likelihoods'!O9="",Scale!$B$12,IFERROR(INDEX(Scale!$B$5:$B$10,MATCH('Symptom likelihoods'!O9,Scale!$A$5:$A$10,0)),Scale!$B$12))</f>
        <v>0.05</v>
      </c>
      <c r="P9" s="25">
        <f>IF('Symptom likelihoods'!P9="",Scale!$B$12,IFERROR(INDEX(Scale!$B$5:$B$10,MATCH('Symptom likelihoods'!P9,Scale!$A$5:$A$10,0)),Scale!$B$12))</f>
        <v>0.05</v>
      </c>
      <c r="Q9" s="25">
        <f>IF('Symptom likelihoods'!Q9="",Scale!$B$12,IFERROR(INDEX(Scale!$B$5:$B$10,MATCH('Symptom likelihoods'!Q9,Scale!$A$5:$A$10,0)),Scale!$B$12))</f>
        <v>0.05</v>
      </c>
      <c r="R9" s="25">
        <f>IF('Symptom likelihoods'!R9="",Scale!$B$12,IFERROR(INDEX(Scale!$B$5:$B$10,MATCH('Symptom likelihoods'!R9,Scale!$A$5:$A$10,0)),Scale!$B$12))</f>
        <v>0.05</v>
      </c>
    </row>
    <row r="10" spans="1:18" x14ac:dyDescent="0.45">
      <c r="A10" s="13" t="str">
        <f>'Symptom likelihoods'!A10</f>
        <v>C05</v>
      </c>
      <c r="B10" s="13" t="str">
        <f>'Symptom likelihoods'!B10</f>
        <v/>
      </c>
      <c r="C10" s="13" t="str">
        <f>'Symptom likelihoods'!C10</f>
        <v/>
      </c>
      <c r="D10" s="25">
        <f>IF('Symptom likelihoods'!D10="",Scale!$B$12,IFERROR(INDEX(Scale!$B$5:$B$10,MATCH('Symptom likelihoods'!D10,Scale!$A$5:$A$10,0)),Scale!$B$12))</f>
        <v>0.05</v>
      </c>
      <c r="E10" s="25">
        <f>IF('Symptom likelihoods'!E10="",Scale!$B$12,IFERROR(INDEX(Scale!$B$5:$B$10,MATCH('Symptom likelihoods'!E10,Scale!$A$5:$A$10,0)),Scale!$B$12))</f>
        <v>0.05</v>
      </c>
      <c r="F10" s="25">
        <f>IF('Symptom likelihoods'!F10="",Scale!$B$12,IFERROR(INDEX(Scale!$B$5:$B$10,MATCH('Symptom likelihoods'!F10,Scale!$A$5:$A$10,0)),Scale!$B$12))</f>
        <v>0.05</v>
      </c>
      <c r="G10" s="25">
        <f>IF('Symptom likelihoods'!G10="",Scale!$B$12,IFERROR(INDEX(Scale!$B$5:$B$10,MATCH('Symptom likelihoods'!G10,Scale!$A$5:$A$10,0)),Scale!$B$12))</f>
        <v>0.05</v>
      </c>
      <c r="H10" s="25">
        <f>IF('Symptom likelihoods'!H10="",Scale!$B$12,IFERROR(INDEX(Scale!$B$5:$B$10,MATCH('Symptom likelihoods'!H10,Scale!$A$5:$A$10,0)),Scale!$B$12))</f>
        <v>0.05</v>
      </c>
      <c r="I10" s="25">
        <f>IF('Symptom likelihoods'!I10="",Scale!$B$12,IFERROR(INDEX(Scale!$B$5:$B$10,MATCH('Symptom likelihoods'!I10,Scale!$A$5:$A$10,0)),Scale!$B$12))</f>
        <v>0.05</v>
      </c>
      <c r="J10" s="25">
        <f>IF('Symptom likelihoods'!J10="",Scale!$B$12,IFERROR(INDEX(Scale!$B$5:$B$10,MATCH('Symptom likelihoods'!J10,Scale!$A$5:$A$10,0)),Scale!$B$12))</f>
        <v>0.05</v>
      </c>
      <c r="K10" s="25">
        <f>IF('Symptom likelihoods'!K10="",Scale!$B$12,IFERROR(INDEX(Scale!$B$5:$B$10,MATCH('Symptom likelihoods'!K10,Scale!$A$5:$A$10,0)),Scale!$B$12))</f>
        <v>0.05</v>
      </c>
      <c r="L10" s="25">
        <f>IF('Symptom likelihoods'!L10="",Scale!$B$12,IFERROR(INDEX(Scale!$B$5:$B$10,MATCH('Symptom likelihoods'!L10,Scale!$A$5:$A$10,0)),Scale!$B$12))</f>
        <v>0.05</v>
      </c>
      <c r="M10" s="25">
        <f>IF('Symptom likelihoods'!M10="",Scale!$B$12,IFERROR(INDEX(Scale!$B$5:$B$10,MATCH('Symptom likelihoods'!M10,Scale!$A$5:$A$10,0)),Scale!$B$12))</f>
        <v>0.05</v>
      </c>
      <c r="N10" s="25">
        <f>IF('Symptom likelihoods'!N10="",Scale!$B$12,IFERROR(INDEX(Scale!$B$5:$B$10,MATCH('Symptom likelihoods'!N10,Scale!$A$5:$A$10,0)),Scale!$B$12))</f>
        <v>0.05</v>
      </c>
      <c r="O10" s="25">
        <f>IF('Symptom likelihoods'!O10="",Scale!$B$12,IFERROR(INDEX(Scale!$B$5:$B$10,MATCH('Symptom likelihoods'!O10,Scale!$A$5:$A$10,0)),Scale!$B$12))</f>
        <v>0.05</v>
      </c>
      <c r="P10" s="25">
        <f>IF('Symptom likelihoods'!P10="",Scale!$B$12,IFERROR(INDEX(Scale!$B$5:$B$10,MATCH('Symptom likelihoods'!P10,Scale!$A$5:$A$10,0)),Scale!$B$12))</f>
        <v>0.05</v>
      </c>
      <c r="Q10" s="25">
        <f>IF('Symptom likelihoods'!Q10="",Scale!$B$12,IFERROR(INDEX(Scale!$B$5:$B$10,MATCH('Symptom likelihoods'!Q10,Scale!$A$5:$A$10,0)),Scale!$B$12))</f>
        <v>0.05</v>
      </c>
      <c r="R10" s="25">
        <f>IF('Symptom likelihoods'!R10="",Scale!$B$12,IFERROR(INDEX(Scale!$B$5:$B$10,MATCH('Symptom likelihoods'!R10,Scale!$A$5:$A$10,0)),Scale!$B$12))</f>
        <v>0.05</v>
      </c>
    </row>
    <row r="11" spans="1:18" x14ac:dyDescent="0.45">
      <c r="A11" s="13" t="str">
        <f>'Symptom likelihoods'!A11</f>
        <v>C06</v>
      </c>
      <c r="B11" s="13" t="str">
        <f>'Symptom likelihoods'!B11</f>
        <v/>
      </c>
      <c r="C11" s="13" t="str">
        <f>'Symptom likelihoods'!C11</f>
        <v/>
      </c>
      <c r="D11" s="25">
        <f>IF('Symptom likelihoods'!D11="",Scale!$B$12,IFERROR(INDEX(Scale!$B$5:$B$10,MATCH('Symptom likelihoods'!D11,Scale!$A$5:$A$10,0)),Scale!$B$12))</f>
        <v>0.05</v>
      </c>
      <c r="E11" s="25">
        <f>IF('Symptom likelihoods'!E11="",Scale!$B$12,IFERROR(INDEX(Scale!$B$5:$B$10,MATCH('Symptom likelihoods'!E11,Scale!$A$5:$A$10,0)),Scale!$B$12))</f>
        <v>0.05</v>
      </c>
      <c r="F11" s="25">
        <f>IF('Symptom likelihoods'!F11="",Scale!$B$12,IFERROR(INDEX(Scale!$B$5:$B$10,MATCH('Symptom likelihoods'!F11,Scale!$A$5:$A$10,0)),Scale!$B$12))</f>
        <v>0.05</v>
      </c>
      <c r="G11" s="25">
        <f>IF('Symptom likelihoods'!G11="",Scale!$B$12,IFERROR(INDEX(Scale!$B$5:$B$10,MATCH('Symptom likelihoods'!G11,Scale!$A$5:$A$10,0)),Scale!$B$12))</f>
        <v>0.05</v>
      </c>
      <c r="H11" s="25">
        <f>IF('Symptom likelihoods'!H11="",Scale!$B$12,IFERROR(INDEX(Scale!$B$5:$B$10,MATCH('Symptom likelihoods'!H11,Scale!$A$5:$A$10,0)),Scale!$B$12))</f>
        <v>0.05</v>
      </c>
      <c r="I11" s="25">
        <f>IF('Symptom likelihoods'!I11="",Scale!$B$12,IFERROR(INDEX(Scale!$B$5:$B$10,MATCH('Symptom likelihoods'!I11,Scale!$A$5:$A$10,0)),Scale!$B$12))</f>
        <v>0.05</v>
      </c>
      <c r="J11" s="25">
        <f>IF('Symptom likelihoods'!J11="",Scale!$B$12,IFERROR(INDEX(Scale!$B$5:$B$10,MATCH('Symptom likelihoods'!J11,Scale!$A$5:$A$10,0)),Scale!$B$12))</f>
        <v>0.05</v>
      </c>
      <c r="K11" s="25">
        <f>IF('Symptom likelihoods'!K11="",Scale!$B$12,IFERROR(INDEX(Scale!$B$5:$B$10,MATCH('Symptom likelihoods'!K11,Scale!$A$5:$A$10,0)),Scale!$B$12))</f>
        <v>0.05</v>
      </c>
      <c r="L11" s="25">
        <f>IF('Symptom likelihoods'!L11="",Scale!$B$12,IFERROR(INDEX(Scale!$B$5:$B$10,MATCH('Symptom likelihoods'!L11,Scale!$A$5:$A$10,0)),Scale!$B$12))</f>
        <v>0.05</v>
      </c>
      <c r="M11" s="25">
        <f>IF('Symptom likelihoods'!M11="",Scale!$B$12,IFERROR(INDEX(Scale!$B$5:$B$10,MATCH('Symptom likelihoods'!M11,Scale!$A$5:$A$10,0)),Scale!$B$12))</f>
        <v>0.05</v>
      </c>
      <c r="N11" s="25">
        <f>IF('Symptom likelihoods'!N11="",Scale!$B$12,IFERROR(INDEX(Scale!$B$5:$B$10,MATCH('Symptom likelihoods'!N11,Scale!$A$5:$A$10,0)),Scale!$B$12))</f>
        <v>0.05</v>
      </c>
      <c r="O11" s="25">
        <f>IF('Symptom likelihoods'!O11="",Scale!$B$12,IFERROR(INDEX(Scale!$B$5:$B$10,MATCH('Symptom likelihoods'!O11,Scale!$A$5:$A$10,0)),Scale!$B$12))</f>
        <v>0.05</v>
      </c>
      <c r="P11" s="25">
        <f>IF('Symptom likelihoods'!P11="",Scale!$B$12,IFERROR(INDEX(Scale!$B$5:$B$10,MATCH('Symptom likelihoods'!P11,Scale!$A$5:$A$10,0)),Scale!$B$12))</f>
        <v>0.05</v>
      </c>
      <c r="Q11" s="25">
        <f>IF('Symptom likelihoods'!Q11="",Scale!$B$12,IFERROR(INDEX(Scale!$B$5:$B$10,MATCH('Symptom likelihoods'!Q11,Scale!$A$5:$A$10,0)),Scale!$B$12))</f>
        <v>0.05</v>
      </c>
      <c r="R11" s="25">
        <f>IF('Symptom likelihoods'!R11="",Scale!$B$12,IFERROR(INDEX(Scale!$B$5:$B$10,MATCH('Symptom likelihoods'!R11,Scale!$A$5:$A$10,0)),Scale!$B$12))</f>
        <v>0.05</v>
      </c>
    </row>
    <row r="12" spans="1:18" x14ac:dyDescent="0.45">
      <c r="A12" s="13" t="str">
        <f>'Symptom likelihoods'!A12</f>
        <v>C07</v>
      </c>
      <c r="B12" s="13" t="str">
        <f>'Symptom likelihoods'!B12</f>
        <v/>
      </c>
      <c r="C12" s="13" t="str">
        <f>'Symptom likelihoods'!C12</f>
        <v/>
      </c>
      <c r="D12" s="25">
        <f>IF('Symptom likelihoods'!D12="",Scale!$B$12,IFERROR(INDEX(Scale!$B$5:$B$10,MATCH('Symptom likelihoods'!D12,Scale!$A$5:$A$10,0)),Scale!$B$12))</f>
        <v>0.05</v>
      </c>
      <c r="E12" s="25">
        <f>IF('Symptom likelihoods'!E12="",Scale!$B$12,IFERROR(INDEX(Scale!$B$5:$B$10,MATCH('Symptom likelihoods'!E12,Scale!$A$5:$A$10,0)),Scale!$B$12))</f>
        <v>0.05</v>
      </c>
      <c r="F12" s="25">
        <f>IF('Symptom likelihoods'!F12="",Scale!$B$12,IFERROR(INDEX(Scale!$B$5:$B$10,MATCH('Symptom likelihoods'!F12,Scale!$A$5:$A$10,0)),Scale!$B$12))</f>
        <v>0.05</v>
      </c>
      <c r="G12" s="25">
        <f>IF('Symptom likelihoods'!G12="",Scale!$B$12,IFERROR(INDEX(Scale!$B$5:$B$10,MATCH('Symptom likelihoods'!G12,Scale!$A$5:$A$10,0)),Scale!$B$12))</f>
        <v>0.05</v>
      </c>
      <c r="H12" s="25">
        <f>IF('Symptom likelihoods'!H12="",Scale!$B$12,IFERROR(INDEX(Scale!$B$5:$B$10,MATCH('Symptom likelihoods'!H12,Scale!$A$5:$A$10,0)),Scale!$B$12))</f>
        <v>0.05</v>
      </c>
      <c r="I12" s="25">
        <f>IF('Symptom likelihoods'!I12="",Scale!$B$12,IFERROR(INDEX(Scale!$B$5:$B$10,MATCH('Symptom likelihoods'!I12,Scale!$A$5:$A$10,0)),Scale!$B$12))</f>
        <v>0.05</v>
      </c>
      <c r="J12" s="25">
        <f>IF('Symptom likelihoods'!J12="",Scale!$B$12,IFERROR(INDEX(Scale!$B$5:$B$10,MATCH('Symptom likelihoods'!J12,Scale!$A$5:$A$10,0)),Scale!$B$12))</f>
        <v>0.05</v>
      </c>
      <c r="K12" s="25">
        <f>IF('Symptom likelihoods'!K12="",Scale!$B$12,IFERROR(INDEX(Scale!$B$5:$B$10,MATCH('Symptom likelihoods'!K12,Scale!$A$5:$A$10,0)),Scale!$B$12))</f>
        <v>0.05</v>
      </c>
      <c r="L12" s="25">
        <f>IF('Symptom likelihoods'!L12="",Scale!$B$12,IFERROR(INDEX(Scale!$B$5:$B$10,MATCH('Symptom likelihoods'!L12,Scale!$A$5:$A$10,0)),Scale!$B$12))</f>
        <v>0.05</v>
      </c>
      <c r="M12" s="25">
        <f>IF('Symptom likelihoods'!M12="",Scale!$B$12,IFERROR(INDEX(Scale!$B$5:$B$10,MATCH('Symptom likelihoods'!M12,Scale!$A$5:$A$10,0)),Scale!$B$12))</f>
        <v>0.05</v>
      </c>
      <c r="N12" s="25">
        <f>IF('Symptom likelihoods'!N12="",Scale!$B$12,IFERROR(INDEX(Scale!$B$5:$B$10,MATCH('Symptom likelihoods'!N12,Scale!$A$5:$A$10,0)),Scale!$B$12))</f>
        <v>0.05</v>
      </c>
      <c r="O12" s="25">
        <f>IF('Symptom likelihoods'!O12="",Scale!$B$12,IFERROR(INDEX(Scale!$B$5:$B$10,MATCH('Symptom likelihoods'!O12,Scale!$A$5:$A$10,0)),Scale!$B$12))</f>
        <v>0.05</v>
      </c>
      <c r="P12" s="25">
        <f>IF('Symptom likelihoods'!P12="",Scale!$B$12,IFERROR(INDEX(Scale!$B$5:$B$10,MATCH('Symptom likelihoods'!P12,Scale!$A$5:$A$10,0)),Scale!$B$12))</f>
        <v>0.05</v>
      </c>
      <c r="Q12" s="25">
        <f>IF('Symptom likelihoods'!Q12="",Scale!$B$12,IFERROR(INDEX(Scale!$B$5:$B$10,MATCH('Symptom likelihoods'!Q12,Scale!$A$5:$A$10,0)),Scale!$B$12))</f>
        <v>0.05</v>
      </c>
      <c r="R12" s="25">
        <f>IF('Symptom likelihoods'!R12="",Scale!$B$12,IFERROR(INDEX(Scale!$B$5:$B$10,MATCH('Symptom likelihoods'!R12,Scale!$A$5:$A$10,0)),Scale!$B$12))</f>
        <v>0.05</v>
      </c>
    </row>
    <row r="13" spans="1:18" x14ac:dyDescent="0.45">
      <c r="A13" s="13" t="str">
        <f>'Symptom likelihoods'!A13</f>
        <v>C08</v>
      </c>
      <c r="B13" s="13" t="str">
        <f>'Symptom likelihoods'!B13</f>
        <v/>
      </c>
      <c r="C13" s="13" t="str">
        <f>'Symptom likelihoods'!C13</f>
        <v/>
      </c>
      <c r="D13" s="25">
        <f>IF('Symptom likelihoods'!D13="",Scale!$B$12,IFERROR(INDEX(Scale!$B$5:$B$10,MATCH('Symptom likelihoods'!D13,Scale!$A$5:$A$10,0)),Scale!$B$12))</f>
        <v>0.05</v>
      </c>
      <c r="E13" s="25">
        <f>IF('Symptom likelihoods'!E13="",Scale!$B$12,IFERROR(INDEX(Scale!$B$5:$B$10,MATCH('Symptom likelihoods'!E13,Scale!$A$5:$A$10,0)),Scale!$B$12))</f>
        <v>0.05</v>
      </c>
      <c r="F13" s="25">
        <f>IF('Symptom likelihoods'!F13="",Scale!$B$12,IFERROR(INDEX(Scale!$B$5:$B$10,MATCH('Symptom likelihoods'!F13,Scale!$A$5:$A$10,0)),Scale!$B$12))</f>
        <v>0.05</v>
      </c>
      <c r="G13" s="25">
        <f>IF('Symptom likelihoods'!G13="",Scale!$B$12,IFERROR(INDEX(Scale!$B$5:$B$10,MATCH('Symptom likelihoods'!G13,Scale!$A$5:$A$10,0)),Scale!$B$12))</f>
        <v>0.05</v>
      </c>
      <c r="H13" s="25">
        <f>IF('Symptom likelihoods'!H13="",Scale!$B$12,IFERROR(INDEX(Scale!$B$5:$B$10,MATCH('Symptom likelihoods'!H13,Scale!$A$5:$A$10,0)),Scale!$B$12))</f>
        <v>0.05</v>
      </c>
      <c r="I13" s="25">
        <f>IF('Symptom likelihoods'!I13="",Scale!$B$12,IFERROR(INDEX(Scale!$B$5:$B$10,MATCH('Symptom likelihoods'!I13,Scale!$A$5:$A$10,0)),Scale!$B$12))</f>
        <v>0.05</v>
      </c>
      <c r="J13" s="25">
        <f>IF('Symptom likelihoods'!J13="",Scale!$B$12,IFERROR(INDEX(Scale!$B$5:$B$10,MATCH('Symptom likelihoods'!J13,Scale!$A$5:$A$10,0)),Scale!$B$12))</f>
        <v>0.05</v>
      </c>
      <c r="K13" s="25">
        <f>IF('Symptom likelihoods'!K13="",Scale!$B$12,IFERROR(INDEX(Scale!$B$5:$B$10,MATCH('Symptom likelihoods'!K13,Scale!$A$5:$A$10,0)),Scale!$B$12))</f>
        <v>0.05</v>
      </c>
      <c r="L13" s="25">
        <f>IF('Symptom likelihoods'!L13="",Scale!$B$12,IFERROR(INDEX(Scale!$B$5:$B$10,MATCH('Symptom likelihoods'!L13,Scale!$A$5:$A$10,0)),Scale!$B$12))</f>
        <v>0.05</v>
      </c>
      <c r="M13" s="25">
        <f>IF('Symptom likelihoods'!M13="",Scale!$B$12,IFERROR(INDEX(Scale!$B$5:$B$10,MATCH('Symptom likelihoods'!M13,Scale!$A$5:$A$10,0)),Scale!$B$12))</f>
        <v>0.05</v>
      </c>
      <c r="N13" s="25">
        <f>IF('Symptom likelihoods'!N13="",Scale!$B$12,IFERROR(INDEX(Scale!$B$5:$B$10,MATCH('Symptom likelihoods'!N13,Scale!$A$5:$A$10,0)),Scale!$B$12))</f>
        <v>0.05</v>
      </c>
      <c r="O13" s="25">
        <f>IF('Symptom likelihoods'!O13="",Scale!$B$12,IFERROR(INDEX(Scale!$B$5:$B$10,MATCH('Symptom likelihoods'!O13,Scale!$A$5:$A$10,0)),Scale!$B$12))</f>
        <v>0.05</v>
      </c>
      <c r="P13" s="25">
        <f>IF('Symptom likelihoods'!P13="",Scale!$B$12,IFERROR(INDEX(Scale!$B$5:$B$10,MATCH('Symptom likelihoods'!P13,Scale!$A$5:$A$10,0)),Scale!$B$12))</f>
        <v>0.05</v>
      </c>
      <c r="Q13" s="25">
        <f>IF('Symptom likelihoods'!Q13="",Scale!$B$12,IFERROR(INDEX(Scale!$B$5:$B$10,MATCH('Symptom likelihoods'!Q13,Scale!$A$5:$A$10,0)),Scale!$B$12))</f>
        <v>0.05</v>
      </c>
      <c r="R13" s="25">
        <f>IF('Symptom likelihoods'!R13="",Scale!$B$12,IFERROR(INDEX(Scale!$B$5:$B$10,MATCH('Symptom likelihoods'!R13,Scale!$A$5:$A$10,0)),Scale!$B$12))</f>
        <v>0.05</v>
      </c>
    </row>
    <row r="14" spans="1:18" x14ac:dyDescent="0.45">
      <c r="A14" s="13" t="str">
        <f>'Symptom likelihoods'!A14</f>
        <v>C09</v>
      </c>
      <c r="B14" s="13" t="str">
        <f>'Symptom likelihoods'!B14</f>
        <v/>
      </c>
      <c r="C14" s="13" t="str">
        <f>'Symptom likelihoods'!C14</f>
        <v/>
      </c>
      <c r="D14" s="25">
        <f>IF('Symptom likelihoods'!D14="",Scale!$B$12,IFERROR(INDEX(Scale!$B$5:$B$10,MATCH('Symptom likelihoods'!D14,Scale!$A$5:$A$10,0)),Scale!$B$12))</f>
        <v>0.05</v>
      </c>
      <c r="E14" s="25">
        <f>IF('Symptom likelihoods'!E14="",Scale!$B$12,IFERROR(INDEX(Scale!$B$5:$B$10,MATCH('Symptom likelihoods'!E14,Scale!$A$5:$A$10,0)),Scale!$B$12))</f>
        <v>0.05</v>
      </c>
      <c r="F14" s="25">
        <f>IF('Symptom likelihoods'!F14="",Scale!$B$12,IFERROR(INDEX(Scale!$B$5:$B$10,MATCH('Symptom likelihoods'!F14,Scale!$A$5:$A$10,0)),Scale!$B$12))</f>
        <v>0.05</v>
      </c>
      <c r="G14" s="25">
        <f>IF('Symptom likelihoods'!G14="",Scale!$B$12,IFERROR(INDEX(Scale!$B$5:$B$10,MATCH('Symptom likelihoods'!G14,Scale!$A$5:$A$10,0)),Scale!$B$12))</f>
        <v>0.05</v>
      </c>
      <c r="H14" s="25">
        <f>IF('Symptom likelihoods'!H14="",Scale!$B$12,IFERROR(INDEX(Scale!$B$5:$B$10,MATCH('Symptom likelihoods'!H14,Scale!$A$5:$A$10,0)),Scale!$B$12))</f>
        <v>0.05</v>
      </c>
      <c r="I14" s="25">
        <f>IF('Symptom likelihoods'!I14="",Scale!$B$12,IFERROR(INDEX(Scale!$B$5:$B$10,MATCH('Symptom likelihoods'!I14,Scale!$A$5:$A$10,0)),Scale!$B$12))</f>
        <v>0.05</v>
      </c>
      <c r="J14" s="25">
        <f>IF('Symptom likelihoods'!J14="",Scale!$B$12,IFERROR(INDEX(Scale!$B$5:$B$10,MATCH('Symptom likelihoods'!J14,Scale!$A$5:$A$10,0)),Scale!$B$12))</f>
        <v>0.05</v>
      </c>
      <c r="K14" s="25">
        <f>IF('Symptom likelihoods'!K14="",Scale!$B$12,IFERROR(INDEX(Scale!$B$5:$B$10,MATCH('Symptom likelihoods'!K14,Scale!$A$5:$A$10,0)),Scale!$B$12))</f>
        <v>0.05</v>
      </c>
      <c r="L14" s="25">
        <f>IF('Symptom likelihoods'!L14="",Scale!$B$12,IFERROR(INDEX(Scale!$B$5:$B$10,MATCH('Symptom likelihoods'!L14,Scale!$A$5:$A$10,0)),Scale!$B$12))</f>
        <v>0.05</v>
      </c>
      <c r="M14" s="25">
        <f>IF('Symptom likelihoods'!M14="",Scale!$B$12,IFERROR(INDEX(Scale!$B$5:$B$10,MATCH('Symptom likelihoods'!M14,Scale!$A$5:$A$10,0)),Scale!$B$12))</f>
        <v>0.05</v>
      </c>
      <c r="N14" s="25">
        <f>IF('Symptom likelihoods'!N14="",Scale!$B$12,IFERROR(INDEX(Scale!$B$5:$B$10,MATCH('Symptom likelihoods'!N14,Scale!$A$5:$A$10,0)),Scale!$B$12))</f>
        <v>0.05</v>
      </c>
      <c r="O14" s="25">
        <f>IF('Symptom likelihoods'!O14="",Scale!$B$12,IFERROR(INDEX(Scale!$B$5:$B$10,MATCH('Symptom likelihoods'!O14,Scale!$A$5:$A$10,0)),Scale!$B$12))</f>
        <v>0.05</v>
      </c>
      <c r="P14" s="25">
        <f>IF('Symptom likelihoods'!P14="",Scale!$B$12,IFERROR(INDEX(Scale!$B$5:$B$10,MATCH('Symptom likelihoods'!P14,Scale!$A$5:$A$10,0)),Scale!$B$12))</f>
        <v>0.05</v>
      </c>
      <c r="Q14" s="25">
        <f>IF('Symptom likelihoods'!Q14="",Scale!$B$12,IFERROR(INDEX(Scale!$B$5:$B$10,MATCH('Symptom likelihoods'!Q14,Scale!$A$5:$A$10,0)),Scale!$B$12))</f>
        <v>0.05</v>
      </c>
      <c r="R14" s="25">
        <f>IF('Symptom likelihoods'!R14="",Scale!$B$12,IFERROR(INDEX(Scale!$B$5:$B$10,MATCH('Symptom likelihoods'!R14,Scale!$A$5:$A$10,0)),Scale!$B$12))</f>
        <v>0.05</v>
      </c>
    </row>
    <row r="15" spans="1:18" x14ac:dyDescent="0.45">
      <c r="A15" s="13" t="str">
        <f>'Symptom likelihoods'!A15</f>
        <v>C10</v>
      </c>
      <c r="B15" s="13" t="str">
        <f>'Symptom likelihoods'!B15</f>
        <v/>
      </c>
      <c r="C15" s="13" t="str">
        <f>'Symptom likelihoods'!C15</f>
        <v/>
      </c>
      <c r="D15" s="25">
        <f>IF('Symptom likelihoods'!D15="",Scale!$B$12,IFERROR(INDEX(Scale!$B$5:$B$10,MATCH('Symptom likelihoods'!D15,Scale!$A$5:$A$10,0)),Scale!$B$12))</f>
        <v>0.05</v>
      </c>
      <c r="E15" s="25">
        <f>IF('Symptom likelihoods'!E15="",Scale!$B$12,IFERROR(INDEX(Scale!$B$5:$B$10,MATCH('Symptom likelihoods'!E15,Scale!$A$5:$A$10,0)),Scale!$B$12))</f>
        <v>0.05</v>
      </c>
      <c r="F15" s="25">
        <f>IF('Symptom likelihoods'!F15="",Scale!$B$12,IFERROR(INDEX(Scale!$B$5:$B$10,MATCH('Symptom likelihoods'!F15,Scale!$A$5:$A$10,0)),Scale!$B$12))</f>
        <v>0.05</v>
      </c>
      <c r="G15" s="25">
        <f>IF('Symptom likelihoods'!G15="",Scale!$B$12,IFERROR(INDEX(Scale!$B$5:$B$10,MATCH('Symptom likelihoods'!G15,Scale!$A$5:$A$10,0)),Scale!$B$12))</f>
        <v>0.05</v>
      </c>
      <c r="H15" s="25">
        <f>IF('Symptom likelihoods'!H15="",Scale!$B$12,IFERROR(INDEX(Scale!$B$5:$B$10,MATCH('Symptom likelihoods'!H15,Scale!$A$5:$A$10,0)),Scale!$B$12))</f>
        <v>0.05</v>
      </c>
      <c r="I15" s="25">
        <f>IF('Symptom likelihoods'!I15="",Scale!$B$12,IFERROR(INDEX(Scale!$B$5:$B$10,MATCH('Symptom likelihoods'!I15,Scale!$A$5:$A$10,0)),Scale!$B$12))</f>
        <v>0.05</v>
      </c>
      <c r="J15" s="25">
        <f>IF('Symptom likelihoods'!J15="",Scale!$B$12,IFERROR(INDEX(Scale!$B$5:$B$10,MATCH('Symptom likelihoods'!J15,Scale!$A$5:$A$10,0)),Scale!$B$12))</f>
        <v>0.05</v>
      </c>
      <c r="K15" s="25">
        <f>IF('Symptom likelihoods'!K15="",Scale!$B$12,IFERROR(INDEX(Scale!$B$5:$B$10,MATCH('Symptom likelihoods'!K15,Scale!$A$5:$A$10,0)),Scale!$B$12))</f>
        <v>0.05</v>
      </c>
      <c r="L15" s="25">
        <f>IF('Symptom likelihoods'!L15="",Scale!$B$12,IFERROR(INDEX(Scale!$B$5:$B$10,MATCH('Symptom likelihoods'!L15,Scale!$A$5:$A$10,0)),Scale!$B$12))</f>
        <v>0.05</v>
      </c>
      <c r="M15" s="25">
        <f>IF('Symptom likelihoods'!M15="",Scale!$B$12,IFERROR(INDEX(Scale!$B$5:$B$10,MATCH('Symptom likelihoods'!M15,Scale!$A$5:$A$10,0)),Scale!$B$12))</f>
        <v>0.05</v>
      </c>
      <c r="N15" s="25">
        <f>IF('Symptom likelihoods'!N15="",Scale!$B$12,IFERROR(INDEX(Scale!$B$5:$B$10,MATCH('Symptom likelihoods'!N15,Scale!$A$5:$A$10,0)),Scale!$B$12))</f>
        <v>0.05</v>
      </c>
      <c r="O15" s="25">
        <f>IF('Symptom likelihoods'!O15="",Scale!$B$12,IFERROR(INDEX(Scale!$B$5:$B$10,MATCH('Symptom likelihoods'!O15,Scale!$A$5:$A$10,0)),Scale!$B$12))</f>
        <v>0.05</v>
      </c>
      <c r="P15" s="25">
        <f>IF('Symptom likelihoods'!P15="",Scale!$B$12,IFERROR(INDEX(Scale!$B$5:$B$10,MATCH('Symptom likelihoods'!P15,Scale!$A$5:$A$10,0)),Scale!$B$12))</f>
        <v>0.05</v>
      </c>
      <c r="Q15" s="25">
        <f>IF('Symptom likelihoods'!Q15="",Scale!$B$12,IFERROR(INDEX(Scale!$B$5:$B$10,MATCH('Symptom likelihoods'!Q15,Scale!$A$5:$A$10,0)),Scale!$B$12))</f>
        <v>0.05</v>
      </c>
      <c r="R15" s="25">
        <f>IF('Symptom likelihoods'!R15="",Scale!$B$12,IFERROR(INDEX(Scale!$B$5:$B$10,MATCH('Symptom likelihoods'!R15,Scale!$A$5:$A$10,0)),Scale!$B$12))</f>
        <v>0.05</v>
      </c>
    </row>
    <row r="16" spans="1:18" x14ac:dyDescent="0.45">
      <c r="A16" s="13" t="str">
        <f>'Symptom likelihoods'!A16</f>
        <v>C11</v>
      </c>
      <c r="B16" s="13" t="str">
        <f>'Symptom likelihoods'!B16</f>
        <v/>
      </c>
      <c r="C16" s="13" t="str">
        <f>'Symptom likelihoods'!C16</f>
        <v/>
      </c>
      <c r="D16" s="25">
        <f>IF('Symptom likelihoods'!D16="",Scale!$B$12,IFERROR(INDEX(Scale!$B$5:$B$10,MATCH('Symptom likelihoods'!D16,Scale!$A$5:$A$10,0)),Scale!$B$12))</f>
        <v>0.05</v>
      </c>
      <c r="E16" s="25">
        <f>IF('Symptom likelihoods'!E16="",Scale!$B$12,IFERROR(INDEX(Scale!$B$5:$B$10,MATCH('Symptom likelihoods'!E16,Scale!$A$5:$A$10,0)),Scale!$B$12))</f>
        <v>0.05</v>
      </c>
      <c r="F16" s="25">
        <f>IF('Symptom likelihoods'!F16="",Scale!$B$12,IFERROR(INDEX(Scale!$B$5:$B$10,MATCH('Symptom likelihoods'!F16,Scale!$A$5:$A$10,0)),Scale!$B$12))</f>
        <v>0.05</v>
      </c>
      <c r="G16" s="25">
        <f>IF('Symptom likelihoods'!G16="",Scale!$B$12,IFERROR(INDEX(Scale!$B$5:$B$10,MATCH('Symptom likelihoods'!G16,Scale!$A$5:$A$10,0)),Scale!$B$12))</f>
        <v>0.05</v>
      </c>
      <c r="H16" s="25">
        <f>IF('Symptom likelihoods'!H16="",Scale!$B$12,IFERROR(INDEX(Scale!$B$5:$B$10,MATCH('Symptom likelihoods'!H16,Scale!$A$5:$A$10,0)),Scale!$B$12))</f>
        <v>0.05</v>
      </c>
      <c r="I16" s="25">
        <f>IF('Symptom likelihoods'!I16="",Scale!$B$12,IFERROR(INDEX(Scale!$B$5:$B$10,MATCH('Symptom likelihoods'!I16,Scale!$A$5:$A$10,0)),Scale!$B$12))</f>
        <v>0.05</v>
      </c>
      <c r="J16" s="25">
        <f>IF('Symptom likelihoods'!J16="",Scale!$B$12,IFERROR(INDEX(Scale!$B$5:$B$10,MATCH('Symptom likelihoods'!J16,Scale!$A$5:$A$10,0)),Scale!$B$12))</f>
        <v>0.05</v>
      </c>
      <c r="K16" s="25">
        <f>IF('Symptom likelihoods'!K16="",Scale!$B$12,IFERROR(INDEX(Scale!$B$5:$B$10,MATCH('Symptom likelihoods'!K16,Scale!$A$5:$A$10,0)),Scale!$B$12))</f>
        <v>0.05</v>
      </c>
      <c r="L16" s="25">
        <f>IF('Symptom likelihoods'!L16="",Scale!$B$12,IFERROR(INDEX(Scale!$B$5:$B$10,MATCH('Symptom likelihoods'!L16,Scale!$A$5:$A$10,0)),Scale!$B$12))</f>
        <v>0.05</v>
      </c>
      <c r="M16" s="25">
        <f>IF('Symptom likelihoods'!M16="",Scale!$B$12,IFERROR(INDEX(Scale!$B$5:$B$10,MATCH('Symptom likelihoods'!M16,Scale!$A$5:$A$10,0)),Scale!$B$12))</f>
        <v>0.05</v>
      </c>
      <c r="N16" s="25">
        <f>IF('Symptom likelihoods'!N16="",Scale!$B$12,IFERROR(INDEX(Scale!$B$5:$B$10,MATCH('Symptom likelihoods'!N16,Scale!$A$5:$A$10,0)),Scale!$B$12))</f>
        <v>0.05</v>
      </c>
      <c r="O16" s="25">
        <f>IF('Symptom likelihoods'!O16="",Scale!$B$12,IFERROR(INDEX(Scale!$B$5:$B$10,MATCH('Symptom likelihoods'!O16,Scale!$A$5:$A$10,0)),Scale!$B$12))</f>
        <v>0.05</v>
      </c>
      <c r="P16" s="25">
        <f>IF('Symptom likelihoods'!P16="",Scale!$B$12,IFERROR(INDEX(Scale!$B$5:$B$10,MATCH('Symptom likelihoods'!P16,Scale!$A$5:$A$10,0)),Scale!$B$12))</f>
        <v>0.05</v>
      </c>
      <c r="Q16" s="25">
        <f>IF('Symptom likelihoods'!Q16="",Scale!$B$12,IFERROR(INDEX(Scale!$B$5:$B$10,MATCH('Symptom likelihoods'!Q16,Scale!$A$5:$A$10,0)),Scale!$B$12))</f>
        <v>0.05</v>
      </c>
      <c r="R16" s="25">
        <f>IF('Symptom likelihoods'!R16="",Scale!$B$12,IFERROR(INDEX(Scale!$B$5:$B$10,MATCH('Symptom likelihoods'!R16,Scale!$A$5:$A$10,0)),Scale!$B$12))</f>
        <v>0.05</v>
      </c>
    </row>
    <row r="17" spans="1:18" x14ac:dyDescent="0.45">
      <c r="A17" s="13" t="str">
        <f>'Symptom likelihoods'!A17</f>
        <v>C12</v>
      </c>
      <c r="B17" s="13" t="str">
        <f>'Symptom likelihoods'!B17</f>
        <v/>
      </c>
      <c r="C17" s="13" t="str">
        <f>'Symptom likelihoods'!C17</f>
        <v/>
      </c>
      <c r="D17" s="25">
        <f>IF('Symptom likelihoods'!D17="",Scale!$B$12,IFERROR(INDEX(Scale!$B$5:$B$10,MATCH('Symptom likelihoods'!D17,Scale!$A$5:$A$10,0)),Scale!$B$12))</f>
        <v>0.05</v>
      </c>
      <c r="E17" s="25">
        <f>IF('Symptom likelihoods'!E17="",Scale!$B$12,IFERROR(INDEX(Scale!$B$5:$B$10,MATCH('Symptom likelihoods'!E17,Scale!$A$5:$A$10,0)),Scale!$B$12))</f>
        <v>0.05</v>
      </c>
      <c r="F17" s="25">
        <f>IF('Symptom likelihoods'!F17="",Scale!$B$12,IFERROR(INDEX(Scale!$B$5:$B$10,MATCH('Symptom likelihoods'!F17,Scale!$A$5:$A$10,0)),Scale!$B$12))</f>
        <v>0.05</v>
      </c>
      <c r="G17" s="25">
        <f>IF('Symptom likelihoods'!G17="",Scale!$B$12,IFERROR(INDEX(Scale!$B$5:$B$10,MATCH('Symptom likelihoods'!G17,Scale!$A$5:$A$10,0)),Scale!$B$12))</f>
        <v>0.05</v>
      </c>
      <c r="H17" s="25">
        <f>IF('Symptom likelihoods'!H17="",Scale!$B$12,IFERROR(INDEX(Scale!$B$5:$B$10,MATCH('Symptom likelihoods'!H17,Scale!$A$5:$A$10,0)),Scale!$B$12))</f>
        <v>0.05</v>
      </c>
      <c r="I17" s="25">
        <f>IF('Symptom likelihoods'!I17="",Scale!$B$12,IFERROR(INDEX(Scale!$B$5:$B$10,MATCH('Symptom likelihoods'!I17,Scale!$A$5:$A$10,0)),Scale!$B$12))</f>
        <v>0.05</v>
      </c>
      <c r="J17" s="25">
        <f>IF('Symptom likelihoods'!J17="",Scale!$B$12,IFERROR(INDEX(Scale!$B$5:$B$10,MATCH('Symptom likelihoods'!J17,Scale!$A$5:$A$10,0)),Scale!$B$12))</f>
        <v>0.05</v>
      </c>
      <c r="K17" s="25">
        <f>IF('Symptom likelihoods'!K17="",Scale!$B$12,IFERROR(INDEX(Scale!$B$5:$B$10,MATCH('Symptom likelihoods'!K17,Scale!$A$5:$A$10,0)),Scale!$B$12))</f>
        <v>0.05</v>
      </c>
      <c r="L17" s="25">
        <f>IF('Symptom likelihoods'!L17="",Scale!$B$12,IFERROR(INDEX(Scale!$B$5:$B$10,MATCH('Symptom likelihoods'!L17,Scale!$A$5:$A$10,0)),Scale!$B$12))</f>
        <v>0.05</v>
      </c>
      <c r="M17" s="25">
        <f>IF('Symptom likelihoods'!M17="",Scale!$B$12,IFERROR(INDEX(Scale!$B$5:$B$10,MATCH('Symptom likelihoods'!M17,Scale!$A$5:$A$10,0)),Scale!$B$12))</f>
        <v>0.05</v>
      </c>
      <c r="N17" s="25">
        <f>IF('Symptom likelihoods'!N17="",Scale!$B$12,IFERROR(INDEX(Scale!$B$5:$B$10,MATCH('Symptom likelihoods'!N17,Scale!$A$5:$A$10,0)),Scale!$B$12))</f>
        <v>0.05</v>
      </c>
      <c r="O17" s="25">
        <f>IF('Symptom likelihoods'!O17="",Scale!$B$12,IFERROR(INDEX(Scale!$B$5:$B$10,MATCH('Symptom likelihoods'!O17,Scale!$A$5:$A$10,0)),Scale!$B$12))</f>
        <v>0.05</v>
      </c>
      <c r="P17" s="25">
        <f>IF('Symptom likelihoods'!P17="",Scale!$B$12,IFERROR(INDEX(Scale!$B$5:$B$10,MATCH('Symptom likelihoods'!P17,Scale!$A$5:$A$10,0)),Scale!$B$12))</f>
        <v>0.05</v>
      </c>
      <c r="Q17" s="25">
        <f>IF('Symptom likelihoods'!Q17="",Scale!$B$12,IFERROR(INDEX(Scale!$B$5:$B$10,MATCH('Symptom likelihoods'!Q17,Scale!$A$5:$A$10,0)),Scale!$B$12))</f>
        <v>0.05</v>
      </c>
      <c r="R17" s="25">
        <f>IF('Symptom likelihoods'!R17="",Scale!$B$12,IFERROR(INDEX(Scale!$B$5:$B$10,MATCH('Symptom likelihoods'!R17,Scale!$A$5:$A$10,0)),Scale!$B$12))</f>
        <v>0.05</v>
      </c>
    </row>
    <row r="18" spans="1:18" x14ac:dyDescent="0.45">
      <c r="A18" s="13" t="str">
        <f>'Symptom likelihoods'!A18</f>
        <v>C13</v>
      </c>
      <c r="B18" s="13" t="str">
        <f>'Symptom likelihoods'!B18</f>
        <v/>
      </c>
      <c r="C18" s="13" t="str">
        <f>'Symptom likelihoods'!C18</f>
        <v/>
      </c>
      <c r="D18" s="25">
        <f>IF('Symptom likelihoods'!D18="",Scale!$B$12,IFERROR(INDEX(Scale!$B$5:$B$10,MATCH('Symptom likelihoods'!D18,Scale!$A$5:$A$10,0)),Scale!$B$12))</f>
        <v>0.05</v>
      </c>
      <c r="E18" s="25">
        <f>IF('Symptom likelihoods'!E18="",Scale!$B$12,IFERROR(INDEX(Scale!$B$5:$B$10,MATCH('Symptom likelihoods'!E18,Scale!$A$5:$A$10,0)),Scale!$B$12))</f>
        <v>0.05</v>
      </c>
      <c r="F18" s="25">
        <f>IF('Symptom likelihoods'!F18="",Scale!$B$12,IFERROR(INDEX(Scale!$B$5:$B$10,MATCH('Symptom likelihoods'!F18,Scale!$A$5:$A$10,0)),Scale!$B$12))</f>
        <v>0.05</v>
      </c>
      <c r="G18" s="25">
        <f>IF('Symptom likelihoods'!G18="",Scale!$B$12,IFERROR(INDEX(Scale!$B$5:$B$10,MATCH('Symptom likelihoods'!G18,Scale!$A$5:$A$10,0)),Scale!$B$12))</f>
        <v>0.05</v>
      </c>
      <c r="H18" s="25">
        <f>IF('Symptom likelihoods'!H18="",Scale!$B$12,IFERROR(INDEX(Scale!$B$5:$B$10,MATCH('Symptom likelihoods'!H18,Scale!$A$5:$A$10,0)),Scale!$B$12))</f>
        <v>0.05</v>
      </c>
      <c r="I18" s="25">
        <f>IF('Symptom likelihoods'!I18="",Scale!$B$12,IFERROR(INDEX(Scale!$B$5:$B$10,MATCH('Symptom likelihoods'!I18,Scale!$A$5:$A$10,0)),Scale!$B$12))</f>
        <v>0.05</v>
      </c>
      <c r="J18" s="25">
        <f>IF('Symptom likelihoods'!J18="",Scale!$B$12,IFERROR(INDEX(Scale!$B$5:$B$10,MATCH('Symptom likelihoods'!J18,Scale!$A$5:$A$10,0)),Scale!$B$12))</f>
        <v>0.05</v>
      </c>
      <c r="K18" s="25">
        <f>IF('Symptom likelihoods'!K18="",Scale!$B$12,IFERROR(INDEX(Scale!$B$5:$B$10,MATCH('Symptom likelihoods'!K18,Scale!$A$5:$A$10,0)),Scale!$B$12))</f>
        <v>0.05</v>
      </c>
      <c r="L18" s="25">
        <f>IF('Symptom likelihoods'!L18="",Scale!$B$12,IFERROR(INDEX(Scale!$B$5:$B$10,MATCH('Symptom likelihoods'!L18,Scale!$A$5:$A$10,0)),Scale!$B$12))</f>
        <v>0.05</v>
      </c>
      <c r="M18" s="25">
        <f>IF('Symptom likelihoods'!M18="",Scale!$B$12,IFERROR(INDEX(Scale!$B$5:$B$10,MATCH('Symptom likelihoods'!M18,Scale!$A$5:$A$10,0)),Scale!$B$12))</f>
        <v>0.05</v>
      </c>
      <c r="N18" s="25">
        <f>IF('Symptom likelihoods'!N18="",Scale!$B$12,IFERROR(INDEX(Scale!$B$5:$B$10,MATCH('Symptom likelihoods'!N18,Scale!$A$5:$A$10,0)),Scale!$B$12))</f>
        <v>0.05</v>
      </c>
      <c r="O18" s="25">
        <f>IF('Symptom likelihoods'!O18="",Scale!$B$12,IFERROR(INDEX(Scale!$B$5:$B$10,MATCH('Symptom likelihoods'!O18,Scale!$A$5:$A$10,0)),Scale!$B$12))</f>
        <v>0.05</v>
      </c>
      <c r="P18" s="25">
        <f>IF('Symptom likelihoods'!P18="",Scale!$B$12,IFERROR(INDEX(Scale!$B$5:$B$10,MATCH('Symptom likelihoods'!P18,Scale!$A$5:$A$10,0)),Scale!$B$12))</f>
        <v>0.05</v>
      </c>
      <c r="Q18" s="25">
        <f>IF('Symptom likelihoods'!Q18="",Scale!$B$12,IFERROR(INDEX(Scale!$B$5:$B$10,MATCH('Symptom likelihoods'!Q18,Scale!$A$5:$A$10,0)),Scale!$B$12))</f>
        <v>0.05</v>
      </c>
      <c r="R18" s="25">
        <f>IF('Symptom likelihoods'!R18="",Scale!$B$12,IFERROR(INDEX(Scale!$B$5:$B$10,MATCH('Symptom likelihoods'!R18,Scale!$A$5:$A$10,0)),Scale!$B$12))</f>
        <v>0.05</v>
      </c>
    </row>
    <row r="19" spans="1:18" x14ac:dyDescent="0.45">
      <c r="A19" s="13" t="str">
        <f>'Symptom likelihoods'!A19</f>
        <v>C14</v>
      </c>
      <c r="B19" s="13" t="str">
        <f>'Symptom likelihoods'!B19</f>
        <v/>
      </c>
      <c r="C19" s="13" t="str">
        <f>'Symptom likelihoods'!C19</f>
        <v/>
      </c>
      <c r="D19" s="25">
        <f>IF('Symptom likelihoods'!D19="",Scale!$B$12,IFERROR(INDEX(Scale!$B$5:$B$10,MATCH('Symptom likelihoods'!D19,Scale!$A$5:$A$10,0)),Scale!$B$12))</f>
        <v>0.05</v>
      </c>
      <c r="E19" s="25">
        <f>IF('Symptom likelihoods'!E19="",Scale!$B$12,IFERROR(INDEX(Scale!$B$5:$B$10,MATCH('Symptom likelihoods'!E19,Scale!$A$5:$A$10,0)),Scale!$B$12))</f>
        <v>0.05</v>
      </c>
      <c r="F19" s="25">
        <f>IF('Symptom likelihoods'!F19="",Scale!$B$12,IFERROR(INDEX(Scale!$B$5:$B$10,MATCH('Symptom likelihoods'!F19,Scale!$A$5:$A$10,0)),Scale!$B$12))</f>
        <v>0.05</v>
      </c>
      <c r="G19" s="25">
        <f>IF('Symptom likelihoods'!G19="",Scale!$B$12,IFERROR(INDEX(Scale!$B$5:$B$10,MATCH('Symptom likelihoods'!G19,Scale!$A$5:$A$10,0)),Scale!$B$12))</f>
        <v>0.05</v>
      </c>
      <c r="H19" s="25">
        <f>IF('Symptom likelihoods'!H19="",Scale!$B$12,IFERROR(INDEX(Scale!$B$5:$B$10,MATCH('Symptom likelihoods'!H19,Scale!$A$5:$A$10,0)),Scale!$B$12))</f>
        <v>0.05</v>
      </c>
      <c r="I19" s="25">
        <f>IF('Symptom likelihoods'!I19="",Scale!$B$12,IFERROR(INDEX(Scale!$B$5:$B$10,MATCH('Symptom likelihoods'!I19,Scale!$A$5:$A$10,0)),Scale!$B$12))</f>
        <v>0.05</v>
      </c>
      <c r="J19" s="25">
        <f>IF('Symptom likelihoods'!J19="",Scale!$B$12,IFERROR(INDEX(Scale!$B$5:$B$10,MATCH('Symptom likelihoods'!J19,Scale!$A$5:$A$10,0)),Scale!$B$12))</f>
        <v>0.05</v>
      </c>
      <c r="K19" s="25">
        <f>IF('Symptom likelihoods'!K19="",Scale!$B$12,IFERROR(INDEX(Scale!$B$5:$B$10,MATCH('Symptom likelihoods'!K19,Scale!$A$5:$A$10,0)),Scale!$B$12))</f>
        <v>0.05</v>
      </c>
      <c r="L19" s="25">
        <f>IF('Symptom likelihoods'!L19="",Scale!$B$12,IFERROR(INDEX(Scale!$B$5:$B$10,MATCH('Symptom likelihoods'!L19,Scale!$A$5:$A$10,0)),Scale!$B$12))</f>
        <v>0.05</v>
      </c>
      <c r="M19" s="25">
        <f>IF('Symptom likelihoods'!M19="",Scale!$B$12,IFERROR(INDEX(Scale!$B$5:$B$10,MATCH('Symptom likelihoods'!M19,Scale!$A$5:$A$10,0)),Scale!$B$12))</f>
        <v>0.05</v>
      </c>
      <c r="N19" s="25">
        <f>IF('Symptom likelihoods'!N19="",Scale!$B$12,IFERROR(INDEX(Scale!$B$5:$B$10,MATCH('Symptom likelihoods'!N19,Scale!$A$5:$A$10,0)),Scale!$B$12))</f>
        <v>0.05</v>
      </c>
      <c r="O19" s="25">
        <f>IF('Symptom likelihoods'!O19="",Scale!$B$12,IFERROR(INDEX(Scale!$B$5:$B$10,MATCH('Symptom likelihoods'!O19,Scale!$A$5:$A$10,0)),Scale!$B$12))</f>
        <v>0.05</v>
      </c>
      <c r="P19" s="25">
        <f>IF('Symptom likelihoods'!P19="",Scale!$B$12,IFERROR(INDEX(Scale!$B$5:$B$10,MATCH('Symptom likelihoods'!P19,Scale!$A$5:$A$10,0)),Scale!$B$12))</f>
        <v>0.05</v>
      </c>
      <c r="Q19" s="25">
        <f>IF('Symptom likelihoods'!Q19="",Scale!$B$12,IFERROR(INDEX(Scale!$B$5:$B$10,MATCH('Symptom likelihoods'!Q19,Scale!$A$5:$A$10,0)),Scale!$B$12))</f>
        <v>0.05</v>
      </c>
      <c r="R19" s="25">
        <f>IF('Symptom likelihoods'!R19="",Scale!$B$12,IFERROR(INDEX(Scale!$B$5:$B$10,MATCH('Symptom likelihoods'!R19,Scale!$A$5:$A$10,0)),Scale!$B$12))</f>
        <v>0.05</v>
      </c>
    </row>
    <row r="20" spans="1:18" x14ac:dyDescent="0.45">
      <c r="A20" s="13" t="str">
        <f>'Symptom likelihoods'!A20</f>
        <v>C15</v>
      </c>
      <c r="B20" s="13" t="str">
        <f>'Symptom likelihoods'!B20</f>
        <v/>
      </c>
      <c r="C20" s="13" t="str">
        <f>'Symptom likelihoods'!C20</f>
        <v/>
      </c>
      <c r="D20" s="25">
        <f>IF('Symptom likelihoods'!D20="",Scale!$B$12,IFERROR(INDEX(Scale!$B$5:$B$10,MATCH('Symptom likelihoods'!D20,Scale!$A$5:$A$10,0)),Scale!$B$12))</f>
        <v>0.05</v>
      </c>
      <c r="E20" s="25">
        <f>IF('Symptom likelihoods'!E20="",Scale!$B$12,IFERROR(INDEX(Scale!$B$5:$B$10,MATCH('Symptom likelihoods'!E20,Scale!$A$5:$A$10,0)),Scale!$B$12))</f>
        <v>0.05</v>
      </c>
      <c r="F20" s="25">
        <f>IF('Symptom likelihoods'!F20="",Scale!$B$12,IFERROR(INDEX(Scale!$B$5:$B$10,MATCH('Symptom likelihoods'!F20,Scale!$A$5:$A$10,0)),Scale!$B$12))</f>
        <v>0.05</v>
      </c>
      <c r="G20" s="25">
        <f>IF('Symptom likelihoods'!G20="",Scale!$B$12,IFERROR(INDEX(Scale!$B$5:$B$10,MATCH('Symptom likelihoods'!G20,Scale!$A$5:$A$10,0)),Scale!$B$12))</f>
        <v>0.05</v>
      </c>
      <c r="H20" s="25">
        <f>IF('Symptom likelihoods'!H20="",Scale!$B$12,IFERROR(INDEX(Scale!$B$5:$B$10,MATCH('Symptom likelihoods'!H20,Scale!$A$5:$A$10,0)),Scale!$B$12))</f>
        <v>0.05</v>
      </c>
      <c r="I20" s="25">
        <f>IF('Symptom likelihoods'!I20="",Scale!$B$12,IFERROR(INDEX(Scale!$B$5:$B$10,MATCH('Symptom likelihoods'!I20,Scale!$A$5:$A$10,0)),Scale!$B$12))</f>
        <v>0.05</v>
      </c>
      <c r="J20" s="25">
        <f>IF('Symptom likelihoods'!J20="",Scale!$B$12,IFERROR(INDEX(Scale!$B$5:$B$10,MATCH('Symptom likelihoods'!J20,Scale!$A$5:$A$10,0)),Scale!$B$12))</f>
        <v>0.05</v>
      </c>
      <c r="K20" s="25">
        <f>IF('Symptom likelihoods'!K20="",Scale!$B$12,IFERROR(INDEX(Scale!$B$5:$B$10,MATCH('Symptom likelihoods'!K20,Scale!$A$5:$A$10,0)),Scale!$B$12))</f>
        <v>0.05</v>
      </c>
      <c r="L20" s="25">
        <f>IF('Symptom likelihoods'!L20="",Scale!$B$12,IFERROR(INDEX(Scale!$B$5:$B$10,MATCH('Symptom likelihoods'!L20,Scale!$A$5:$A$10,0)),Scale!$B$12))</f>
        <v>0.05</v>
      </c>
      <c r="M20" s="25">
        <f>IF('Symptom likelihoods'!M20="",Scale!$B$12,IFERROR(INDEX(Scale!$B$5:$B$10,MATCH('Symptom likelihoods'!M20,Scale!$A$5:$A$10,0)),Scale!$B$12))</f>
        <v>0.05</v>
      </c>
      <c r="N20" s="25">
        <f>IF('Symptom likelihoods'!N20="",Scale!$B$12,IFERROR(INDEX(Scale!$B$5:$B$10,MATCH('Symptom likelihoods'!N20,Scale!$A$5:$A$10,0)),Scale!$B$12))</f>
        <v>0.05</v>
      </c>
      <c r="O20" s="25">
        <f>IF('Symptom likelihoods'!O20="",Scale!$B$12,IFERROR(INDEX(Scale!$B$5:$B$10,MATCH('Symptom likelihoods'!O20,Scale!$A$5:$A$10,0)),Scale!$B$12))</f>
        <v>0.05</v>
      </c>
      <c r="P20" s="25">
        <f>IF('Symptom likelihoods'!P20="",Scale!$B$12,IFERROR(INDEX(Scale!$B$5:$B$10,MATCH('Symptom likelihoods'!P20,Scale!$A$5:$A$10,0)),Scale!$B$12))</f>
        <v>0.05</v>
      </c>
      <c r="Q20" s="25">
        <f>IF('Symptom likelihoods'!Q20="",Scale!$B$12,IFERROR(INDEX(Scale!$B$5:$B$10,MATCH('Symptom likelihoods'!Q20,Scale!$A$5:$A$10,0)),Scale!$B$12))</f>
        <v>0.05</v>
      </c>
      <c r="R20" s="25">
        <f>IF('Symptom likelihoods'!R20="",Scale!$B$12,IFERROR(INDEX(Scale!$B$5:$B$10,MATCH('Symptom likelihoods'!R20,Scale!$A$5:$A$10,0)),Scale!$B$12))</f>
        <v>0.05</v>
      </c>
    </row>
    <row r="21" spans="1:18" x14ac:dyDescent="0.45">
      <c r="A21" s="13" t="str">
        <f>'Symptom likelihoods'!A21</f>
        <v>C16</v>
      </c>
      <c r="B21" s="13" t="str">
        <f>'Symptom likelihoods'!B21</f>
        <v/>
      </c>
      <c r="C21" s="13" t="str">
        <f>'Symptom likelihoods'!C21</f>
        <v/>
      </c>
      <c r="D21" s="25">
        <f>IF('Symptom likelihoods'!D21="",Scale!$B$12,IFERROR(INDEX(Scale!$B$5:$B$10,MATCH('Symptom likelihoods'!D21,Scale!$A$5:$A$10,0)),Scale!$B$12))</f>
        <v>0.05</v>
      </c>
      <c r="E21" s="25">
        <f>IF('Symptom likelihoods'!E21="",Scale!$B$12,IFERROR(INDEX(Scale!$B$5:$B$10,MATCH('Symptom likelihoods'!E21,Scale!$A$5:$A$10,0)),Scale!$B$12))</f>
        <v>0.05</v>
      </c>
      <c r="F21" s="25">
        <f>IF('Symptom likelihoods'!F21="",Scale!$B$12,IFERROR(INDEX(Scale!$B$5:$B$10,MATCH('Symptom likelihoods'!F21,Scale!$A$5:$A$10,0)),Scale!$B$12))</f>
        <v>0.05</v>
      </c>
      <c r="G21" s="25">
        <f>IF('Symptom likelihoods'!G21="",Scale!$B$12,IFERROR(INDEX(Scale!$B$5:$B$10,MATCH('Symptom likelihoods'!G21,Scale!$A$5:$A$10,0)),Scale!$B$12))</f>
        <v>0.05</v>
      </c>
      <c r="H21" s="25">
        <f>IF('Symptom likelihoods'!H21="",Scale!$B$12,IFERROR(INDEX(Scale!$B$5:$B$10,MATCH('Symptom likelihoods'!H21,Scale!$A$5:$A$10,0)),Scale!$B$12))</f>
        <v>0.05</v>
      </c>
      <c r="I21" s="25">
        <f>IF('Symptom likelihoods'!I21="",Scale!$B$12,IFERROR(INDEX(Scale!$B$5:$B$10,MATCH('Symptom likelihoods'!I21,Scale!$A$5:$A$10,0)),Scale!$B$12))</f>
        <v>0.05</v>
      </c>
      <c r="J21" s="25">
        <f>IF('Symptom likelihoods'!J21="",Scale!$B$12,IFERROR(INDEX(Scale!$B$5:$B$10,MATCH('Symptom likelihoods'!J21,Scale!$A$5:$A$10,0)),Scale!$B$12))</f>
        <v>0.05</v>
      </c>
      <c r="K21" s="25">
        <f>IF('Symptom likelihoods'!K21="",Scale!$B$12,IFERROR(INDEX(Scale!$B$5:$B$10,MATCH('Symptom likelihoods'!K21,Scale!$A$5:$A$10,0)),Scale!$B$12))</f>
        <v>0.05</v>
      </c>
      <c r="L21" s="25">
        <f>IF('Symptom likelihoods'!L21="",Scale!$B$12,IFERROR(INDEX(Scale!$B$5:$B$10,MATCH('Symptom likelihoods'!L21,Scale!$A$5:$A$10,0)),Scale!$B$12))</f>
        <v>0.05</v>
      </c>
      <c r="M21" s="25">
        <f>IF('Symptom likelihoods'!M21="",Scale!$B$12,IFERROR(INDEX(Scale!$B$5:$B$10,MATCH('Symptom likelihoods'!M21,Scale!$A$5:$A$10,0)),Scale!$B$12))</f>
        <v>0.05</v>
      </c>
      <c r="N21" s="25">
        <f>IF('Symptom likelihoods'!N21="",Scale!$B$12,IFERROR(INDEX(Scale!$B$5:$B$10,MATCH('Symptom likelihoods'!N21,Scale!$A$5:$A$10,0)),Scale!$B$12))</f>
        <v>0.05</v>
      </c>
      <c r="O21" s="25">
        <f>IF('Symptom likelihoods'!O21="",Scale!$B$12,IFERROR(INDEX(Scale!$B$5:$B$10,MATCH('Symptom likelihoods'!O21,Scale!$A$5:$A$10,0)),Scale!$B$12))</f>
        <v>0.05</v>
      </c>
      <c r="P21" s="25">
        <f>IF('Symptom likelihoods'!P21="",Scale!$B$12,IFERROR(INDEX(Scale!$B$5:$B$10,MATCH('Symptom likelihoods'!P21,Scale!$A$5:$A$10,0)),Scale!$B$12))</f>
        <v>0.05</v>
      </c>
      <c r="Q21" s="25">
        <f>IF('Symptom likelihoods'!Q21="",Scale!$B$12,IFERROR(INDEX(Scale!$B$5:$B$10,MATCH('Symptom likelihoods'!Q21,Scale!$A$5:$A$10,0)),Scale!$B$12))</f>
        <v>0.05</v>
      </c>
      <c r="R21" s="25">
        <f>IF('Symptom likelihoods'!R21="",Scale!$B$12,IFERROR(INDEX(Scale!$B$5:$B$10,MATCH('Symptom likelihoods'!R21,Scale!$A$5:$A$10,0)),Scale!$B$12))</f>
        <v>0.05</v>
      </c>
    </row>
    <row r="22" spans="1:18" x14ac:dyDescent="0.45">
      <c r="A22" s="13" t="str">
        <f>'Symptom likelihoods'!A22</f>
        <v>C17</v>
      </c>
      <c r="B22" s="13" t="str">
        <f>'Symptom likelihoods'!B22</f>
        <v/>
      </c>
      <c r="C22" s="13" t="str">
        <f>'Symptom likelihoods'!C22</f>
        <v/>
      </c>
      <c r="D22" s="25">
        <f>IF('Symptom likelihoods'!D22="",Scale!$B$12,IFERROR(INDEX(Scale!$B$5:$B$10,MATCH('Symptom likelihoods'!D22,Scale!$A$5:$A$10,0)),Scale!$B$12))</f>
        <v>0.05</v>
      </c>
      <c r="E22" s="25">
        <f>IF('Symptom likelihoods'!E22="",Scale!$B$12,IFERROR(INDEX(Scale!$B$5:$B$10,MATCH('Symptom likelihoods'!E22,Scale!$A$5:$A$10,0)),Scale!$B$12))</f>
        <v>0.05</v>
      </c>
      <c r="F22" s="25">
        <f>IF('Symptom likelihoods'!F22="",Scale!$B$12,IFERROR(INDEX(Scale!$B$5:$B$10,MATCH('Symptom likelihoods'!F22,Scale!$A$5:$A$10,0)),Scale!$B$12))</f>
        <v>0.05</v>
      </c>
      <c r="G22" s="25">
        <f>IF('Symptom likelihoods'!G22="",Scale!$B$12,IFERROR(INDEX(Scale!$B$5:$B$10,MATCH('Symptom likelihoods'!G22,Scale!$A$5:$A$10,0)),Scale!$B$12))</f>
        <v>0.05</v>
      </c>
      <c r="H22" s="25">
        <f>IF('Symptom likelihoods'!H22="",Scale!$B$12,IFERROR(INDEX(Scale!$B$5:$B$10,MATCH('Symptom likelihoods'!H22,Scale!$A$5:$A$10,0)),Scale!$B$12))</f>
        <v>0.05</v>
      </c>
      <c r="I22" s="25">
        <f>IF('Symptom likelihoods'!I22="",Scale!$B$12,IFERROR(INDEX(Scale!$B$5:$B$10,MATCH('Symptom likelihoods'!I22,Scale!$A$5:$A$10,0)),Scale!$B$12))</f>
        <v>0.05</v>
      </c>
      <c r="J22" s="25">
        <f>IF('Symptom likelihoods'!J22="",Scale!$B$12,IFERROR(INDEX(Scale!$B$5:$B$10,MATCH('Symptom likelihoods'!J22,Scale!$A$5:$A$10,0)),Scale!$B$12))</f>
        <v>0.05</v>
      </c>
      <c r="K22" s="25">
        <f>IF('Symptom likelihoods'!K22="",Scale!$B$12,IFERROR(INDEX(Scale!$B$5:$B$10,MATCH('Symptom likelihoods'!K22,Scale!$A$5:$A$10,0)),Scale!$B$12))</f>
        <v>0.05</v>
      </c>
      <c r="L22" s="25">
        <f>IF('Symptom likelihoods'!L22="",Scale!$B$12,IFERROR(INDEX(Scale!$B$5:$B$10,MATCH('Symptom likelihoods'!L22,Scale!$A$5:$A$10,0)),Scale!$B$12))</f>
        <v>0.05</v>
      </c>
      <c r="M22" s="25">
        <f>IF('Symptom likelihoods'!M22="",Scale!$B$12,IFERROR(INDEX(Scale!$B$5:$B$10,MATCH('Symptom likelihoods'!M22,Scale!$A$5:$A$10,0)),Scale!$B$12))</f>
        <v>0.05</v>
      </c>
      <c r="N22" s="25">
        <f>IF('Symptom likelihoods'!N22="",Scale!$B$12,IFERROR(INDEX(Scale!$B$5:$B$10,MATCH('Symptom likelihoods'!N22,Scale!$A$5:$A$10,0)),Scale!$B$12))</f>
        <v>0.05</v>
      </c>
      <c r="O22" s="25">
        <f>IF('Symptom likelihoods'!O22="",Scale!$B$12,IFERROR(INDEX(Scale!$B$5:$B$10,MATCH('Symptom likelihoods'!O22,Scale!$A$5:$A$10,0)),Scale!$B$12))</f>
        <v>0.05</v>
      </c>
      <c r="P22" s="25">
        <f>IF('Symptom likelihoods'!P22="",Scale!$B$12,IFERROR(INDEX(Scale!$B$5:$B$10,MATCH('Symptom likelihoods'!P22,Scale!$A$5:$A$10,0)),Scale!$B$12))</f>
        <v>0.05</v>
      </c>
      <c r="Q22" s="25">
        <f>IF('Symptom likelihoods'!Q22="",Scale!$B$12,IFERROR(INDEX(Scale!$B$5:$B$10,MATCH('Symptom likelihoods'!Q22,Scale!$A$5:$A$10,0)),Scale!$B$12))</f>
        <v>0.05</v>
      </c>
      <c r="R22" s="25">
        <f>IF('Symptom likelihoods'!R22="",Scale!$B$12,IFERROR(INDEX(Scale!$B$5:$B$10,MATCH('Symptom likelihoods'!R22,Scale!$A$5:$A$10,0)),Scale!$B$12))</f>
        <v>0.05</v>
      </c>
    </row>
    <row r="23" spans="1:18" x14ac:dyDescent="0.45">
      <c r="A23" s="13" t="str">
        <f>'Symptom likelihoods'!A23</f>
        <v>C18</v>
      </c>
      <c r="B23" s="13" t="str">
        <f>'Symptom likelihoods'!B23</f>
        <v/>
      </c>
      <c r="C23" s="13" t="str">
        <f>'Symptom likelihoods'!C23</f>
        <v/>
      </c>
      <c r="D23" s="25">
        <f>IF('Symptom likelihoods'!D23="",Scale!$B$12,IFERROR(INDEX(Scale!$B$5:$B$10,MATCH('Symptom likelihoods'!D23,Scale!$A$5:$A$10,0)),Scale!$B$12))</f>
        <v>0.05</v>
      </c>
      <c r="E23" s="25">
        <f>IF('Symptom likelihoods'!E23="",Scale!$B$12,IFERROR(INDEX(Scale!$B$5:$B$10,MATCH('Symptom likelihoods'!E23,Scale!$A$5:$A$10,0)),Scale!$B$12))</f>
        <v>0.05</v>
      </c>
      <c r="F23" s="25">
        <f>IF('Symptom likelihoods'!F23="",Scale!$B$12,IFERROR(INDEX(Scale!$B$5:$B$10,MATCH('Symptom likelihoods'!F23,Scale!$A$5:$A$10,0)),Scale!$B$12))</f>
        <v>0.05</v>
      </c>
      <c r="G23" s="25">
        <f>IF('Symptom likelihoods'!G23="",Scale!$B$12,IFERROR(INDEX(Scale!$B$5:$B$10,MATCH('Symptom likelihoods'!G23,Scale!$A$5:$A$10,0)),Scale!$B$12))</f>
        <v>0.05</v>
      </c>
      <c r="H23" s="25">
        <f>IF('Symptom likelihoods'!H23="",Scale!$B$12,IFERROR(INDEX(Scale!$B$5:$B$10,MATCH('Symptom likelihoods'!H23,Scale!$A$5:$A$10,0)),Scale!$B$12))</f>
        <v>0.05</v>
      </c>
      <c r="I23" s="25">
        <f>IF('Symptom likelihoods'!I23="",Scale!$B$12,IFERROR(INDEX(Scale!$B$5:$B$10,MATCH('Symptom likelihoods'!I23,Scale!$A$5:$A$10,0)),Scale!$B$12))</f>
        <v>0.05</v>
      </c>
      <c r="J23" s="25">
        <f>IF('Symptom likelihoods'!J23="",Scale!$B$12,IFERROR(INDEX(Scale!$B$5:$B$10,MATCH('Symptom likelihoods'!J23,Scale!$A$5:$A$10,0)),Scale!$B$12))</f>
        <v>0.05</v>
      </c>
      <c r="K23" s="25">
        <f>IF('Symptom likelihoods'!K23="",Scale!$B$12,IFERROR(INDEX(Scale!$B$5:$B$10,MATCH('Symptom likelihoods'!K23,Scale!$A$5:$A$10,0)),Scale!$B$12))</f>
        <v>0.05</v>
      </c>
      <c r="L23" s="25">
        <f>IF('Symptom likelihoods'!L23="",Scale!$B$12,IFERROR(INDEX(Scale!$B$5:$B$10,MATCH('Symptom likelihoods'!L23,Scale!$A$5:$A$10,0)),Scale!$B$12))</f>
        <v>0.05</v>
      </c>
      <c r="M23" s="25">
        <f>IF('Symptom likelihoods'!M23="",Scale!$B$12,IFERROR(INDEX(Scale!$B$5:$B$10,MATCH('Symptom likelihoods'!M23,Scale!$A$5:$A$10,0)),Scale!$B$12))</f>
        <v>0.05</v>
      </c>
      <c r="N23" s="25">
        <f>IF('Symptom likelihoods'!N23="",Scale!$B$12,IFERROR(INDEX(Scale!$B$5:$B$10,MATCH('Symptom likelihoods'!N23,Scale!$A$5:$A$10,0)),Scale!$B$12))</f>
        <v>0.05</v>
      </c>
      <c r="O23" s="25">
        <f>IF('Symptom likelihoods'!O23="",Scale!$B$12,IFERROR(INDEX(Scale!$B$5:$B$10,MATCH('Symptom likelihoods'!O23,Scale!$A$5:$A$10,0)),Scale!$B$12))</f>
        <v>0.05</v>
      </c>
      <c r="P23" s="25">
        <f>IF('Symptom likelihoods'!P23="",Scale!$B$12,IFERROR(INDEX(Scale!$B$5:$B$10,MATCH('Symptom likelihoods'!P23,Scale!$A$5:$A$10,0)),Scale!$B$12))</f>
        <v>0.05</v>
      </c>
      <c r="Q23" s="25">
        <f>IF('Symptom likelihoods'!Q23="",Scale!$B$12,IFERROR(INDEX(Scale!$B$5:$B$10,MATCH('Symptom likelihoods'!Q23,Scale!$A$5:$A$10,0)),Scale!$B$12))</f>
        <v>0.05</v>
      </c>
      <c r="R23" s="25">
        <f>IF('Symptom likelihoods'!R23="",Scale!$B$12,IFERROR(INDEX(Scale!$B$5:$B$10,MATCH('Symptom likelihoods'!R23,Scale!$A$5:$A$10,0)),Scale!$B$12))</f>
        <v>0.05</v>
      </c>
    </row>
    <row r="24" spans="1:18" x14ac:dyDescent="0.45">
      <c r="A24" s="13" t="str">
        <f>'Symptom likelihoods'!A24</f>
        <v>C19</v>
      </c>
      <c r="B24" s="13" t="str">
        <f>'Symptom likelihoods'!B24</f>
        <v/>
      </c>
      <c r="C24" s="13" t="str">
        <f>'Symptom likelihoods'!C24</f>
        <v/>
      </c>
      <c r="D24" s="25">
        <f>IF('Symptom likelihoods'!D24="",Scale!$B$12,IFERROR(INDEX(Scale!$B$5:$B$10,MATCH('Symptom likelihoods'!D24,Scale!$A$5:$A$10,0)),Scale!$B$12))</f>
        <v>0.05</v>
      </c>
      <c r="E24" s="25">
        <f>IF('Symptom likelihoods'!E24="",Scale!$B$12,IFERROR(INDEX(Scale!$B$5:$B$10,MATCH('Symptom likelihoods'!E24,Scale!$A$5:$A$10,0)),Scale!$B$12))</f>
        <v>0.05</v>
      </c>
      <c r="F24" s="25">
        <f>IF('Symptom likelihoods'!F24="",Scale!$B$12,IFERROR(INDEX(Scale!$B$5:$B$10,MATCH('Symptom likelihoods'!F24,Scale!$A$5:$A$10,0)),Scale!$B$12))</f>
        <v>0.05</v>
      </c>
      <c r="G24" s="25">
        <f>IF('Symptom likelihoods'!G24="",Scale!$B$12,IFERROR(INDEX(Scale!$B$5:$B$10,MATCH('Symptom likelihoods'!G24,Scale!$A$5:$A$10,0)),Scale!$B$12))</f>
        <v>0.05</v>
      </c>
      <c r="H24" s="25">
        <f>IF('Symptom likelihoods'!H24="",Scale!$B$12,IFERROR(INDEX(Scale!$B$5:$B$10,MATCH('Symptom likelihoods'!H24,Scale!$A$5:$A$10,0)),Scale!$B$12))</f>
        <v>0.05</v>
      </c>
      <c r="I24" s="25">
        <f>IF('Symptom likelihoods'!I24="",Scale!$B$12,IFERROR(INDEX(Scale!$B$5:$B$10,MATCH('Symptom likelihoods'!I24,Scale!$A$5:$A$10,0)),Scale!$B$12))</f>
        <v>0.05</v>
      </c>
      <c r="J24" s="25">
        <f>IF('Symptom likelihoods'!J24="",Scale!$B$12,IFERROR(INDEX(Scale!$B$5:$B$10,MATCH('Symptom likelihoods'!J24,Scale!$A$5:$A$10,0)),Scale!$B$12))</f>
        <v>0.05</v>
      </c>
      <c r="K24" s="25">
        <f>IF('Symptom likelihoods'!K24="",Scale!$B$12,IFERROR(INDEX(Scale!$B$5:$B$10,MATCH('Symptom likelihoods'!K24,Scale!$A$5:$A$10,0)),Scale!$B$12))</f>
        <v>0.05</v>
      </c>
      <c r="L24" s="25">
        <f>IF('Symptom likelihoods'!L24="",Scale!$B$12,IFERROR(INDEX(Scale!$B$5:$B$10,MATCH('Symptom likelihoods'!L24,Scale!$A$5:$A$10,0)),Scale!$B$12))</f>
        <v>0.05</v>
      </c>
      <c r="M24" s="25">
        <f>IF('Symptom likelihoods'!M24="",Scale!$B$12,IFERROR(INDEX(Scale!$B$5:$B$10,MATCH('Symptom likelihoods'!M24,Scale!$A$5:$A$10,0)),Scale!$B$12))</f>
        <v>0.05</v>
      </c>
      <c r="N24" s="25">
        <f>IF('Symptom likelihoods'!N24="",Scale!$B$12,IFERROR(INDEX(Scale!$B$5:$B$10,MATCH('Symptom likelihoods'!N24,Scale!$A$5:$A$10,0)),Scale!$B$12))</f>
        <v>0.05</v>
      </c>
      <c r="O24" s="25">
        <f>IF('Symptom likelihoods'!O24="",Scale!$B$12,IFERROR(INDEX(Scale!$B$5:$B$10,MATCH('Symptom likelihoods'!O24,Scale!$A$5:$A$10,0)),Scale!$B$12))</f>
        <v>0.05</v>
      </c>
      <c r="P24" s="25">
        <f>IF('Symptom likelihoods'!P24="",Scale!$B$12,IFERROR(INDEX(Scale!$B$5:$B$10,MATCH('Symptom likelihoods'!P24,Scale!$A$5:$A$10,0)),Scale!$B$12))</f>
        <v>0.05</v>
      </c>
      <c r="Q24" s="25">
        <f>IF('Symptom likelihoods'!Q24="",Scale!$B$12,IFERROR(INDEX(Scale!$B$5:$B$10,MATCH('Symptom likelihoods'!Q24,Scale!$A$5:$A$10,0)),Scale!$B$12))</f>
        <v>0.05</v>
      </c>
      <c r="R24" s="25">
        <f>IF('Symptom likelihoods'!R24="",Scale!$B$12,IFERROR(INDEX(Scale!$B$5:$B$10,MATCH('Symptom likelihoods'!R24,Scale!$A$5:$A$10,0)),Scale!$B$12))</f>
        <v>0.05</v>
      </c>
    </row>
    <row r="25" spans="1:18" x14ac:dyDescent="0.45">
      <c r="A25" s="13" t="str">
        <f>'Symptom likelihoods'!A25</f>
        <v>C20</v>
      </c>
      <c r="B25" s="13" t="str">
        <f>'Symptom likelihoods'!B25</f>
        <v/>
      </c>
      <c r="C25" s="13" t="str">
        <f>'Symptom likelihoods'!C25</f>
        <v/>
      </c>
      <c r="D25" s="25">
        <f>IF('Symptom likelihoods'!D25="",Scale!$B$12,IFERROR(INDEX(Scale!$B$5:$B$10,MATCH('Symptom likelihoods'!D25,Scale!$A$5:$A$10,0)),Scale!$B$12))</f>
        <v>0.05</v>
      </c>
      <c r="E25" s="25">
        <f>IF('Symptom likelihoods'!E25="",Scale!$B$12,IFERROR(INDEX(Scale!$B$5:$B$10,MATCH('Symptom likelihoods'!E25,Scale!$A$5:$A$10,0)),Scale!$B$12))</f>
        <v>0.05</v>
      </c>
      <c r="F25" s="25">
        <f>IF('Symptom likelihoods'!F25="",Scale!$B$12,IFERROR(INDEX(Scale!$B$5:$B$10,MATCH('Symptom likelihoods'!F25,Scale!$A$5:$A$10,0)),Scale!$B$12))</f>
        <v>0.05</v>
      </c>
      <c r="G25" s="25">
        <f>IF('Symptom likelihoods'!G25="",Scale!$B$12,IFERROR(INDEX(Scale!$B$5:$B$10,MATCH('Symptom likelihoods'!G25,Scale!$A$5:$A$10,0)),Scale!$B$12))</f>
        <v>0.05</v>
      </c>
      <c r="H25" s="25">
        <f>IF('Symptom likelihoods'!H25="",Scale!$B$12,IFERROR(INDEX(Scale!$B$5:$B$10,MATCH('Symptom likelihoods'!H25,Scale!$A$5:$A$10,0)),Scale!$B$12))</f>
        <v>0.05</v>
      </c>
      <c r="I25" s="25">
        <f>IF('Symptom likelihoods'!I25="",Scale!$B$12,IFERROR(INDEX(Scale!$B$5:$B$10,MATCH('Symptom likelihoods'!I25,Scale!$A$5:$A$10,0)),Scale!$B$12))</f>
        <v>0.05</v>
      </c>
      <c r="J25" s="25">
        <f>IF('Symptom likelihoods'!J25="",Scale!$B$12,IFERROR(INDEX(Scale!$B$5:$B$10,MATCH('Symptom likelihoods'!J25,Scale!$A$5:$A$10,0)),Scale!$B$12))</f>
        <v>0.05</v>
      </c>
      <c r="K25" s="25">
        <f>IF('Symptom likelihoods'!K25="",Scale!$B$12,IFERROR(INDEX(Scale!$B$5:$B$10,MATCH('Symptom likelihoods'!K25,Scale!$A$5:$A$10,0)),Scale!$B$12))</f>
        <v>0.05</v>
      </c>
      <c r="L25" s="25">
        <f>IF('Symptom likelihoods'!L25="",Scale!$B$12,IFERROR(INDEX(Scale!$B$5:$B$10,MATCH('Symptom likelihoods'!L25,Scale!$A$5:$A$10,0)),Scale!$B$12))</f>
        <v>0.05</v>
      </c>
      <c r="M25" s="25">
        <f>IF('Symptom likelihoods'!M25="",Scale!$B$12,IFERROR(INDEX(Scale!$B$5:$B$10,MATCH('Symptom likelihoods'!M25,Scale!$A$5:$A$10,0)),Scale!$B$12))</f>
        <v>0.05</v>
      </c>
      <c r="N25" s="25">
        <f>IF('Symptom likelihoods'!N25="",Scale!$B$12,IFERROR(INDEX(Scale!$B$5:$B$10,MATCH('Symptom likelihoods'!N25,Scale!$A$5:$A$10,0)),Scale!$B$12))</f>
        <v>0.05</v>
      </c>
      <c r="O25" s="25">
        <f>IF('Symptom likelihoods'!O25="",Scale!$B$12,IFERROR(INDEX(Scale!$B$5:$B$10,MATCH('Symptom likelihoods'!O25,Scale!$A$5:$A$10,0)),Scale!$B$12))</f>
        <v>0.05</v>
      </c>
      <c r="P25" s="25">
        <f>IF('Symptom likelihoods'!P25="",Scale!$B$12,IFERROR(INDEX(Scale!$B$5:$B$10,MATCH('Symptom likelihoods'!P25,Scale!$A$5:$A$10,0)),Scale!$B$12))</f>
        <v>0.05</v>
      </c>
      <c r="Q25" s="25">
        <f>IF('Symptom likelihoods'!Q25="",Scale!$B$12,IFERROR(INDEX(Scale!$B$5:$B$10,MATCH('Symptom likelihoods'!Q25,Scale!$A$5:$A$10,0)),Scale!$B$12))</f>
        <v>0.05</v>
      </c>
      <c r="R25" s="25">
        <f>IF('Symptom likelihoods'!R25="",Scale!$B$12,IFERROR(INDEX(Scale!$B$5:$B$10,MATCH('Symptom likelihoods'!R25,Scale!$A$5:$A$10,0)),Scale!$B$12))</f>
        <v>0.05</v>
      </c>
    </row>
    <row r="26" spans="1:18" x14ac:dyDescent="0.45">
      <c r="A26" s="13" t="str">
        <f>'Symptom likelihoods'!A26</f>
        <v>C21</v>
      </c>
      <c r="B26" s="13" t="str">
        <f>'Symptom likelihoods'!B26</f>
        <v/>
      </c>
      <c r="C26" s="13" t="str">
        <f>'Symptom likelihoods'!C26</f>
        <v/>
      </c>
      <c r="D26" s="25">
        <f>IF('Symptom likelihoods'!D26="",Scale!$B$12,IFERROR(INDEX(Scale!$B$5:$B$10,MATCH('Symptom likelihoods'!D26,Scale!$A$5:$A$10,0)),Scale!$B$12))</f>
        <v>0.05</v>
      </c>
      <c r="E26" s="25">
        <f>IF('Symptom likelihoods'!E26="",Scale!$B$12,IFERROR(INDEX(Scale!$B$5:$B$10,MATCH('Symptom likelihoods'!E26,Scale!$A$5:$A$10,0)),Scale!$B$12))</f>
        <v>0.05</v>
      </c>
      <c r="F26" s="25">
        <f>IF('Symptom likelihoods'!F26="",Scale!$B$12,IFERROR(INDEX(Scale!$B$5:$B$10,MATCH('Symptom likelihoods'!F26,Scale!$A$5:$A$10,0)),Scale!$B$12))</f>
        <v>0.05</v>
      </c>
      <c r="G26" s="25">
        <f>IF('Symptom likelihoods'!G26="",Scale!$B$12,IFERROR(INDEX(Scale!$B$5:$B$10,MATCH('Symptom likelihoods'!G26,Scale!$A$5:$A$10,0)),Scale!$B$12))</f>
        <v>0.05</v>
      </c>
      <c r="H26" s="25">
        <f>IF('Symptom likelihoods'!H26="",Scale!$B$12,IFERROR(INDEX(Scale!$B$5:$B$10,MATCH('Symptom likelihoods'!H26,Scale!$A$5:$A$10,0)),Scale!$B$12))</f>
        <v>0.05</v>
      </c>
      <c r="I26" s="25">
        <f>IF('Symptom likelihoods'!I26="",Scale!$B$12,IFERROR(INDEX(Scale!$B$5:$B$10,MATCH('Symptom likelihoods'!I26,Scale!$A$5:$A$10,0)),Scale!$B$12))</f>
        <v>0.05</v>
      </c>
      <c r="J26" s="25">
        <f>IF('Symptom likelihoods'!J26="",Scale!$B$12,IFERROR(INDEX(Scale!$B$5:$B$10,MATCH('Symptom likelihoods'!J26,Scale!$A$5:$A$10,0)),Scale!$B$12))</f>
        <v>0.05</v>
      </c>
      <c r="K26" s="25">
        <f>IF('Symptom likelihoods'!K26="",Scale!$B$12,IFERROR(INDEX(Scale!$B$5:$B$10,MATCH('Symptom likelihoods'!K26,Scale!$A$5:$A$10,0)),Scale!$B$12))</f>
        <v>0.05</v>
      </c>
      <c r="L26" s="25">
        <f>IF('Symptom likelihoods'!L26="",Scale!$B$12,IFERROR(INDEX(Scale!$B$5:$B$10,MATCH('Symptom likelihoods'!L26,Scale!$A$5:$A$10,0)),Scale!$B$12))</f>
        <v>0.05</v>
      </c>
      <c r="M26" s="25">
        <f>IF('Symptom likelihoods'!M26="",Scale!$B$12,IFERROR(INDEX(Scale!$B$5:$B$10,MATCH('Symptom likelihoods'!M26,Scale!$A$5:$A$10,0)),Scale!$B$12))</f>
        <v>0.05</v>
      </c>
      <c r="N26" s="25">
        <f>IF('Symptom likelihoods'!N26="",Scale!$B$12,IFERROR(INDEX(Scale!$B$5:$B$10,MATCH('Symptom likelihoods'!N26,Scale!$A$5:$A$10,0)),Scale!$B$12))</f>
        <v>0.05</v>
      </c>
      <c r="O26" s="25">
        <f>IF('Symptom likelihoods'!O26="",Scale!$B$12,IFERROR(INDEX(Scale!$B$5:$B$10,MATCH('Symptom likelihoods'!O26,Scale!$A$5:$A$10,0)),Scale!$B$12))</f>
        <v>0.05</v>
      </c>
      <c r="P26" s="25">
        <f>IF('Symptom likelihoods'!P26="",Scale!$B$12,IFERROR(INDEX(Scale!$B$5:$B$10,MATCH('Symptom likelihoods'!P26,Scale!$A$5:$A$10,0)),Scale!$B$12))</f>
        <v>0.05</v>
      </c>
      <c r="Q26" s="25">
        <f>IF('Symptom likelihoods'!Q26="",Scale!$B$12,IFERROR(INDEX(Scale!$B$5:$B$10,MATCH('Symptom likelihoods'!Q26,Scale!$A$5:$A$10,0)),Scale!$B$12))</f>
        <v>0.05</v>
      </c>
      <c r="R26" s="25">
        <f>IF('Symptom likelihoods'!R26="",Scale!$B$12,IFERROR(INDEX(Scale!$B$5:$B$10,MATCH('Symptom likelihoods'!R26,Scale!$A$5:$A$10,0)),Scale!$B$12))</f>
        <v>0.05</v>
      </c>
    </row>
    <row r="27" spans="1:18" x14ac:dyDescent="0.45">
      <c r="A27" s="13" t="str">
        <f>'Symptom likelihoods'!A27</f>
        <v>C22</v>
      </c>
      <c r="B27" s="13" t="str">
        <f>'Symptom likelihoods'!B27</f>
        <v/>
      </c>
      <c r="C27" s="13" t="str">
        <f>'Symptom likelihoods'!C27</f>
        <v/>
      </c>
      <c r="D27" s="25">
        <f>IF('Symptom likelihoods'!D27="",Scale!$B$12,IFERROR(INDEX(Scale!$B$5:$B$10,MATCH('Symptom likelihoods'!D27,Scale!$A$5:$A$10,0)),Scale!$B$12))</f>
        <v>0.05</v>
      </c>
      <c r="E27" s="25">
        <f>IF('Symptom likelihoods'!E27="",Scale!$B$12,IFERROR(INDEX(Scale!$B$5:$B$10,MATCH('Symptom likelihoods'!E27,Scale!$A$5:$A$10,0)),Scale!$B$12))</f>
        <v>0.05</v>
      </c>
      <c r="F27" s="25">
        <f>IF('Symptom likelihoods'!F27="",Scale!$B$12,IFERROR(INDEX(Scale!$B$5:$B$10,MATCH('Symptom likelihoods'!F27,Scale!$A$5:$A$10,0)),Scale!$B$12))</f>
        <v>0.05</v>
      </c>
      <c r="G27" s="25">
        <f>IF('Symptom likelihoods'!G27="",Scale!$B$12,IFERROR(INDEX(Scale!$B$5:$B$10,MATCH('Symptom likelihoods'!G27,Scale!$A$5:$A$10,0)),Scale!$B$12))</f>
        <v>0.05</v>
      </c>
      <c r="H27" s="25">
        <f>IF('Symptom likelihoods'!H27="",Scale!$B$12,IFERROR(INDEX(Scale!$B$5:$B$10,MATCH('Symptom likelihoods'!H27,Scale!$A$5:$A$10,0)),Scale!$B$12))</f>
        <v>0.05</v>
      </c>
      <c r="I27" s="25">
        <f>IF('Symptom likelihoods'!I27="",Scale!$B$12,IFERROR(INDEX(Scale!$B$5:$B$10,MATCH('Symptom likelihoods'!I27,Scale!$A$5:$A$10,0)),Scale!$B$12))</f>
        <v>0.05</v>
      </c>
      <c r="J27" s="25">
        <f>IF('Symptom likelihoods'!J27="",Scale!$B$12,IFERROR(INDEX(Scale!$B$5:$B$10,MATCH('Symptom likelihoods'!J27,Scale!$A$5:$A$10,0)),Scale!$B$12))</f>
        <v>0.05</v>
      </c>
      <c r="K27" s="25">
        <f>IF('Symptom likelihoods'!K27="",Scale!$B$12,IFERROR(INDEX(Scale!$B$5:$B$10,MATCH('Symptom likelihoods'!K27,Scale!$A$5:$A$10,0)),Scale!$B$12))</f>
        <v>0.05</v>
      </c>
      <c r="L27" s="25">
        <f>IF('Symptom likelihoods'!L27="",Scale!$B$12,IFERROR(INDEX(Scale!$B$5:$B$10,MATCH('Symptom likelihoods'!L27,Scale!$A$5:$A$10,0)),Scale!$B$12))</f>
        <v>0.05</v>
      </c>
      <c r="M27" s="25">
        <f>IF('Symptom likelihoods'!M27="",Scale!$B$12,IFERROR(INDEX(Scale!$B$5:$B$10,MATCH('Symptom likelihoods'!M27,Scale!$A$5:$A$10,0)),Scale!$B$12))</f>
        <v>0.05</v>
      </c>
      <c r="N27" s="25">
        <f>IF('Symptom likelihoods'!N27="",Scale!$B$12,IFERROR(INDEX(Scale!$B$5:$B$10,MATCH('Symptom likelihoods'!N27,Scale!$A$5:$A$10,0)),Scale!$B$12))</f>
        <v>0.05</v>
      </c>
      <c r="O27" s="25">
        <f>IF('Symptom likelihoods'!O27="",Scale!$B$12,IFERROR(INDEX(Scale!$B$5:$B$10,MATCH('Symptom likelihoods'!O27,Scale!$A$5:$A$10,0)),Scale!$B$12))</f>
        <v>0.05</v>
      </c>
      <c r="P27" s="25">
        <f>IF('Symptom likelihoods'!P27="",Scale!$B$12,IFERROR(INDEX(Scale!$B$5:$B$10,MATCH('Symptom likelihoods'!P27,Scale!$A$5:$A$10,0)),Scale!$B$12))</f>
        <v>0.05</v>
      </c>
      <c r="Q27" s="25">
        <f>IF('Symptom likelihoods'!Q27="",Scale!$B$12,IFERROR(INDEX(Scale!$B$5:$B$10,MATCH('Symptom likelihoods'!Q27,Scale!$A$5:$A$10,0)),Scale!$B$12))</f>
        <v>0.05</v>
      </c>
      <c r="R27" s="25">
        <f>IF('Symptom likelihoods'!R27="",Scale!$B$12,IFERROR(INDEX(Scale!$B$5:$B$10,MATCH('Symptom likelihoods'!R27,Scale!$A$5:$A$10,0)),Scale!$B$12))</f>
        <v>0.05</v>
      </c>
    </row>
    <row r="28" spans="1:18" x14ac:dyDescent="0.45">
      <c r="A28" s="13" t="str">
        <f>'Symptom likelihoods'!A28</f>
        <v>C23</v>
      </c>
      <c r="B28" s="13" t="str">
        <f>'Symptom likelihoods'!B28</f>
        <v/>
      </c>
      <c r="C28" s="13" t="str">
        <f>'Symptom likelihoods'!C28</f>
        <v/>
      </c>
      <c r="D28" s="25">
        <f>IF('Symptom likelihoods'!D28="",Scale!$B$12,IFERROR(INDEX(Scale!$B$5:$B$10,MATCH('Symptom likelihoods'!D28,Scale!$A$5:$A$10,0)),Scale!$B$12))</f>
        <v>0.05</v>
      </c>
      <c r="E28" s="25">
        <f>IF('Symptom likelihoods'!E28="",Scale!$B$12,IFERROR(INDEX(Scale!$B$5:$B$10,MATCH('Symptom likelihoods'!E28,Scale!$A$5:$A$10,0)),Scale!$B$12))</f>
        <v>0.05</v>
      </c>
      <c r="F28" s="25">
        <f>IF('Symptom likelihoods'!F28="",Scale!$B$12,IFERROR(INDEX(Scale!$B$5:$B$10,MATCH('Symptom likelihoods'!F28,Scale!$A$5:$A$10,0)),Scale!$B$12))</f>
        <v>0.05</v>
      </c>
      <c r="G28" s="25">
        <f>IF('Symptom likelihoods'!G28="",Scale!$B$12,IFERROR(INDEX(Scale!$B$5:$B$10,MATCH('Symptom likelihoods'!G28,Scale!$A$5:$A$10,0)),Scale!$B$12))</f>
        <v>0.05</v>
      </c>
      <c r="H28" s="25">
        <f>IF('Symptom likelihoods'!H28="",Scale!$B$12,IFERROR(INDEX(Scale!$B$5:$B$10,MATCH('Symptom likelihoods'!H28,Scale!$A$5:$A$10,0)),Scale!$B$12))</f>
        <v>0.05</v>
      </c>
      <c r="I28" s="25">
        <f>IF('Symptom likelihoods'!I28="",Scale!$B$12,IFERROR(INDEX(Scale!$B$5:$B$10,MATCH('Symptom likelihoods'!I28,Scale!$A$5:$A$10,0)),Scale!$B$12))</f>
        <v>0.05</v>
      </c>
      <c r="J28" s="25">
        <f>IF('Symptom likelihoods'!J28="",Scale!$B$12,IFERROR(INDEX(Scale!$B$5:$B$10,MATCH('Symptom likelihoods'!J28,Scale!$A$5:$A$10,0)),Scale!$B$12))</f>
        <v>0.05</v>
      </c>
      <c r="K28" s="25">
        <f>IF('Symptom likelihoods'!K28="",Scale!$B$12,IFERROR(INDEX(Scale!$B$5:$B$10,MATCH('Symptom likelihoods'!K28,Scale!$A$5:$A$10,0)),Scale!$B$12))</f>
        <v>0.05</v>
      </c>
      <c r="L28" s="25">
        <f>IF('Symptom likelihoods'!L28="",Scale!$B$12,IFERROR(INDEX(Scale!$B$5:$B$10,MATCH('Symptom likelihoods'!L28,Scale!$A$5:$A$10,0)),Scale!$B$12))</f>
        <v>0.05</v>
      </c>
      <c r="M28" s="25">
        <f>IF('Symptom likelihoods'!M28="",Scale!$B$12,IFERROR(INDEX(Scale!$B$5:$B$10,MATCH('Symptom likelihoods'!M28,Scale!$A$5:$A$10,0)),Scale!$B$12))</f>
        <v>0.05</v>
      </c>
      <c r="N28" s="25">
        <f>IF('Symptom likelihoods'!N28="",Scale!$B$12,IFERROR(INDEX(Scale!$B$5:$B$10,MATCH('Symptom likelihoods'!N28,Scale!$A$5:$A$10,0)),Scale!$B$12))</f>
        <v>0.05</v>
      </c>
      <c r="O28" s="25">
        <f>IF('Symptom likelihoods'!O28="",Scale!$B$12,IFERROR(INDEX(Scale!$B$5:$B$10,MATCH('Symptom likelihoods'!O28,Scale!$A$5:$A$10,0)),Scale!$B$12))</f>
        <v>0.05</v>
      </c>
      <c r="P28" s="25">
        <f>IF('Symptom likelihoods'!P28="",Scale!$B$12,IFERROR(INDEX(Scale!$B$5:$B$10,MATCH('Symptom likelihoods'!P28,Scale!$A$5:$A$10,0)),Scale!$B$12))</f>
        <v>0.05</v>
      </c>
      <c r="Q28" s="25">
        <f>IF('Symptom likelihoods'!Q28="",Scale!$B$12,IFERROR(INDEX(Scale!$B$5:$B$10,MATCH('Symptom likelihoods'!Q28,Scale!$A$5:$A$10,0)),Scale!$B$12))</f>
        <v>0.05</v>
      </c>
      <c r="R28" s="25">
        <f>IF('Symptom likelihoods'!R28="",Scale!$B$12,IFERROR(INDEX(Scale!$B$5:$B$10,MATCH('Symptom likelihoods'!R28,Scale!$A$5:$A$10,0)),Scale!$B$12))</f>
        <v>0.05</v>
      </c>
    </row>
    <row r="29" spans="1:18" x14ac:dyDescent="0.45">
      <c r="A29" s="13" t="str">
        <f>'Symptom likelihoods'!A29</f>
        <v>C24</v>
      </c>
      <c r="B29" s="13" t="str">
        <f>'Symptom likelihoods'!B29</f>
        <v/>
      </c>
      <c r="C29" s="13" t="str">
        <f>'Symptom likelihoods'!C29</f>
        <v/>
      </c>
      <c r="D29" s="25">
        <f>IF('Symptom likelihoods'!D29="",Scale!$B$12,IFERROR(INDEX(Scale!$B$5:$B$10,MATCH('Symptom likelihoods'!D29,Scale!$A$5:$A$10,0)),Scale!$B$12))</f>
        <v>0.05</v>
      </c>
      <c r="E29" s="25">
        <f>IF('Symptom likelihoods'!E29="",Scale!$B$12,IFERROR(INDEX(Scale!$B$5:$B$10,MATCH('Symptom likelihoods'!E29,Scale!$A$5:$A$10,0)),Scale!$B$12))</f>
        <v>0.05</v>
      </c>
      <c r="F29" s="25">
        <f>IF('Symptom likelihoods'!F29="",Scale!$B$12,IFERROR(INDEX(Scale!$B$5:$B$10,MATCH('Symptom likelihoods'!F29,Scale!$A$5:$A$10,0)),Scale!$B$12))</f>
        <v>0.05</v>
      </c>
      <c r="G29" s="25">
        <f>IF('Symptom likelihoods'!G29="",Scale!$B$12,IFERROR(INDEX(Scale!$B$5:$B$10,MATCH('Symptom likelihoods'!G29,Scale!$A$5:$A$10,0)),Scale!$B$12))</f>
        <v>0.05</v>
      </c>
      <c r="H29" s="25">
        <f>IF('Symptom likelihoods'!H29="",Scale!$B$12,IFERROR(INDEX(Scale!$B$5:$B$10,MATCH('Symptom likelihoods'!H29,Scale!$A$5:$A$10,0)),Scale!$B$12))</f>
        <v>0.05</v>
      </c>
      <c r="I29" s="25">
        <f>IF('Symptom likelihoods'!I29="",Scale!$B$12,IFERROR(INDEX(Scale!$B$5:$B$10,MATCH('Symptom likelihoods'!I29,Scale!$A$5:$A$10,0)),Scale!$B$12))</f>
        <v>0.05</v>
      </c>
      <c r="J29" s="25">
        <f>IF('Symptom likelihoods'!J29="",Scale!$B$12,IFERROR(INDEX(Scale!$B$5:$B$10,MATCH('Symptom likelihoods'!J29,Scale!$A$5:$A$10,0)),Scale!$B$12))</f>
        <v>0.05</v>
      </c>
      <c r="K29" s="25">
        <f>IF('Symptom likelihoods'!K29="",Scale!$B$12,IFERROR(INDEX(Scale!$B$5:$B$10,MATCH('Symptom likelihoods'!K29,Scale!$A$5:$A$10,0)),Scale!$B$12))</f>
        <v>0.05</v>
      </c>
      <c r="L29" s="25">
        <f>IF('Symptom likelihoods'!L29="",Scale!$B$12,IFERROR(INDEX(Scale!$B$5:$B$10,MATCH('Symptom likelihoods'!L29,Scale!$A$5:$A$10,0)),Scale!$B$12))</f>
        <v>0.05</v>
      </c>
      <c r="M29" s="25">
        <f>IF('Symptom likelihoods'!M29="",Scale!$B$12,IFERROR(INDEX(Scale!$B$5:$B$10,MATCH('Symptom likelihoods'!M29,Scale!$A$5:$A$10,0)),Scale!$B$12))</f>
        <v>0.05</v>
      </c>
      <c r="N29" s="25">
        <f>IF('Symptom likelihoods'!N29="",Scale!$B$12,IFERROR(INDEX(Scale!$B$5:$B$10,MATCH('Symptom likelihoods'!N29,Scale!$A$5:$A$10,0)),Scale!$B$12))</f>
        <v>0.05</v>
      </c>
      <c r="O29" s="25">
        <f>IF('Symptom likelihoods'!O29="",Scale!$B$12,IFERROR(INDEX(Scale!$B$5:$B$10,MATCH('Symptom likelihoods'!O29,Scale!$A$5:$A$10,0)),Scale!$B$12))</f>
        <v>0.05</v>
      </c>
      <c r="P29" s="25">
        <f>IF('Symptom likelihoods'!P29="",Scale!$B$12,IFERROR(INDEX(Scale!$B$5:$B$10,MATCH('Symptom likelihoods'!P29,Scale!$A$5:$A$10,0)),Scale!$B$12))</f>
        <v>0.05</v>
      </c>
      <c r="Q29" s="25">
        <f>IF('Symptom likelihoods'!Q29="",Scale!$B$12,IFERROR(INDEX(Scale!$B$5:$B$10,MATCH('Symptom likelihoods'!Q29,Scale!$A$5:$A$10,0)),Scale!$B$12))</f>
        <v>0.05</v>
      </c>
      <c r="R29" s="25">
        <f>IF('Symptom likelihoods'!R29="",Scale!$B$12,IFERROR(INDEX(Scale!$B$5:$B$10,MATCH('Symptom likelihoods'!R29,Scale!$A$5:$A$10,0)),Scale!$B$12))</f>
        <v>0.05</v>
      </c>
    </row>
    <row r="30" spans="1:18" x14ac:dyDescent="0.45">
      <c r="A30" s="13" t="str">
        <f>'Symptom likelihoods'!A30</f>
        <v>C25</v>
      </c>
      <c r="B30" s="13" t="str">
        <f>'Symptom likelihoods'!B30</f>
        <v/>
      </c>
      <c r="C30" s="13" t="str">
        <f>'Symptom likelihoods'!C30</f>
        <v/>
      </c>
      <c r="D30" s="25">
        <f>IF('Symptom likelihoods'!D30="",Scale!$B$12,IFERROR(INDEX(Scale!$B$5:$B$10,MATCH('Symptom likelihoods'!D30,Scale!$A$5:$A$10,0)),Scale!$B$12))</f>
        <v>0.05</v>
      </c>
      <c r="E30" s="25">
        <f>IF('Symptom likelihoods'!E30="",Scale!$B$12,IFERROR(INDEX(Scale!$B$5:$B$10,MATCH('Symptom likelihoods'!E30,Scale!$A$5:$A$10,0)),Scale!$B$12))</f>
        <v>0.05</v>
      </c>
      <c r="F30" s="25">
        <f>IF('Symptom likelihoods'!F30="",Scale!$B$12,IFERROR(INDEX(Scale!$B$5:$B$10,MATCH('Symptom likelihoods'!F30,Scale!$A$5:$A$10,0)),Scale!$B$12))</f>
        <v>0.05</v>
      </c>
      <c r="G30" s="25">
        <f>IF('Symptom likelihoods'!G30="",Scale!$B$12,IFERROR(INDEX(Scale!$B$5:$B$10,MATCH('Symptom likelihoods'!G30,Scale!$A$5:$A$10,0)),Scale!$B$12))</f>
        <v>0.05</v>
      </c>
      <c r="H30" s="25">
        <f>IF('Symptom likelihoods'!H30="",Scale!$B$12,IFERROR(INDEX(Scale!$B$5:$B$10,MATCH('Symptom likelihoods'!H30,Scale!$A$5:$A$10,0)),Scale!$B$12))</f>
        <v>0.05</v>
      </c>
      <c r="I30" s="25">
        <f>IF('Symptom likelihoods'!I30="",Scale!$B$12,IFERROR(INDEX(Scale!$B$5:$B$10,MATCH('Symptom likelihoods'!I30,Scale!$A$5:$A$10,0)),Scale!$B$12))</f>
        <v>0.05</v>
      </c>
      <c r="J30" s="25">
        <f>IF('Symptom likelihoods'!J30="",Scale!$B$12,IFERROR(INDEX(Scale!$B$5:$B$10,MATCH('Symptom likelihoods'!J30,Scale!$A$5:$A$10,0)),Scale!$B$12))</f>
        <v>0.05</v>
      </c>
      <c r="K30" s="25">
        <f>IF('Symptom likelihoods'!K30="",Scale!$B$12,IFERROR(INDEX(Scale!$B$5:$B$10,MATCH('Symptom likelihoods'!K30,Scale!$A$5:$A$10,0)),Scale!$B$12))</f>
        <v>0.05</v>
      </c>
      <c r="L30" s="25">
        <f>IF('Symptom likelihoods'!L30="",Scale!$B$12,IFERROR(INDEX(Scale!$B$5:$B$10,MATCH('Symptom likelihoods'!L30,Scale!$A$5:$A$10,0)),Scale!$B$12))</f>
        <v>0.05</v>
      </c>
      <c r="M30" s="25">
        <f>IF('Symptom likelihoods'!M30="",Scale!$B$12,IFERROR(INDEX(Scale!$B$5:$B$10,MATCH('Symptom likelihoods'!M30,Scale!$A$5:$A$10,0)),Scale!$B$12))</f>
        <v>0.05</v>
      </c>
      <c r="N30" s="25">
        <f>IF('Symptom likelihoods'!N30="",Scale!$B$12,IFERROR(INDEX(Scale!$B$5:$B$10,MATCH('Symptom likelihoods'!N30,Scale!$A$5:$A$10,0)),Scale!$B$12))</f>
        <v>0.05</v>
      </c>
      <c r="O30" s="25">
        <f>IF('Symptom likelihoods'!O30="",Scale!$B$12,IFERROR(INDEX(Scale!$B$5:$B$10,MATCH('Symptom likelihoods'!O30,Scale!$A$5:$A$10,0)),Scale!$B$12))</f>
        <v>0.05</v>
      </c>
      <c r="P30" s="25">
        <f>IF('Symptom likelihoods'!P30="",Scale!$B$12,IFERROR(INDEX(Scale!$B$5:$B$10,MATCH('Symptom likelihoods'!P30,Scale!$A$5:$A$10,0)),Scale!$B$12))</f>
        <v>0.05</v>
      </c>
      <c r="Q30" s="25">
        <f>IF('Symptom likelihoods'!Q30="",Scale!$B$12,IFERROR(INDEX(Scale!$B$5:$B$10,MATCH('Symptom likelihoods'!Q30,Scale!$A$5:$A$10,0)),Scale!$B$12))</f>
        <v>0.05</v>
      </c>
      <c r="R30" s="25">
        <f>IF('Symptom likelihoods'!R30="",Scale!$B$12,IFERROR(INDEX(Scale!$B$5:$B$10,MATCH('Symptom likelihoods'!R30,Scale!$A$5:$A$10,0)),Scale!$B$12))</f>
        <v>0.05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5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8" customWidth="1"/>
    <col min="2" max="4" width="28" customWidth="1"/>
    <col min="5" max="5" width="48" customWidth="1"/>
    <col min="6" max="6" width="30" customWidth="1"/>
    <col min="7" max="7" width="22" customWidth="1"/>
    <col min="8" max="8" width="26" customWidth="1"/>
  </cols>
  <sheetData>
    <row r="1" spans="1:8" ht="17.649999999999999" x14ac:dyDescent="0.5">
      <c r="A1" s="1" t="s">
        <v>197</v>
      </c>
    </row>
    <row r="2" spans="1:8" x14ac:dyDescent="0.45">
      <c r="A2" s="2" t="s">
        <v>198</v>
      </c>
    </row>
    <row r="4" spans="1:8" ht="32" customHeight="1" x14ac:dyDescent="0.45">
      <c r="A4" s="11" t="s">
        <v>199</v>
      </c>
      <c r="B4" s="11" t="s">
        <v>200</v>
      </c>
      <c r="C4" s="11" t="s">
        <v>201</v>
      </c>
      <c r="D4" s="11" t="s">
        <v>202</v>
      </c>
      <c r="E4" s="11" t="s">
        <v>203</v>
      </c>
      <c r="F4" s="11" t="s">
        <v>204</v>
      </c>
      <c r="G4" s="11" t="s">
        <v>76</v>
      </c>
      <c r="H4" s="11" t="s">
        <v>77</v>
      </c>
    </row>
    <row r="5" spans="1:8" ht="41.65" x14ac:dyDescent="0.45">
      <c r="A5" s="20" t="s">
        <v>79</v>
      </c>
      <c r="B5" s="20" t="s">
        <v>205</v>
      </c>
      <c r="C5" s="20" t="s">
        <v>175</v>
      </c>
      <c r="D5" s="20" t="s">
        <v>206</v>
      </c>
      <c r="E5" s="20" t="s">
        <v>207</v>
      </c>
      <c r="F5" s="20" t="s">
        <v>208</v>
      </c>
      <c r="G5" s="20" t="s">
        <v>209</v>
      </c>
      <c r="H5" s="20"/>
    </row>
    <row r="6" spans="1:8" x14ac:dyDescent="0.45">
      <c r="A6" s="21" t="s">
        <v>177</v>
      </c>
      <c r="B6" s="5"/>
      <c r="C6" s="5"/>
      <c r="D6" s="5"/>
      <c r="E6" s="26" t="str">
        <f t="shared" ref="E6:E15" si="0">IF(B6="","","Do not: "&amp;B6&amp;IF(C6="",""," when "&amp;C6)&amp;IF(D6="",""," unless "&amp;D6&amp;" has been observed"))</f>
        <v/>
      </c>
      <c r="F6" s="5"/>
      <c r="G6" s="5"/>
      <c r="H6" s="5"/>
    </row>
    <row r="7" spans="1:8" x14ac:dyDescent="0.45">
      <c r="A7" s="21" t="s">
        <v>210</v>
      </c>
      <c r="B7" s="5"/>
      <c r="C7" s="5"/>
      <c r="D7" s="5"/>
      <c r="E7" s="26" t="str">
        <f t="shared" si="0"/>
        <v/>
      </c>
      <c r="F7" s="5"/>
      <c r="G7" s="5"/>
      <c r="H7" s="5"/>
    </row>
    <row r="8" spans="1:8" x14ac:dyDescent="0.45">
      <c r="A8" s="21" t="s">
        <v>211</v>
      </c>
      <c r="B8" s="5"/>
      <c r="C8" s="5"/>
      <c r="D8" s="5"/>
      <c r="E8" s="26" t="str">
        <f t="shared" si="0"/>
        <v/>
      </c>
      <c r="F8" s="5"/>
      <c r="G8" s="5"/>
      <c r="H8" s="5"/>
    </row>
    <row r="9" spans="1:8" x14ac:dyDescent="0.45">
      <c r="A9" s="21" t="s">
        <v>212</v>
      </c>
      <c r="B9" s="5"/>
      <c r="C9" s="5"/>
      <c r="D9" s="5"/>
      <c r="E9" s="26" t="str">
        <f t="shared" si="0"/>
        <v/>
      </c>
      <c r="F9" s="5"/>
      <c r="G9" s="5"/>
      <c r="H9" s="5"/>
    </row>
    <row r="10" spans="1:8" x14ac:dyDescent="0.45">
      <c r="A10" s="21" t="s">
        <v>213</v>
      </c>
      <c r="B10" s="5"/>
      <c r="C10" s="5"/>
      <c r="D10" s="5"/>
      <c r="E10" s="26" t="str">
        <f t="shared" si="0"/>
        <v/>
      </c>
      <c r="F10" s="5"/>
      <c r="G10" s="5"/>
      <c r="H10" s="5"/>
    </row>
    <row r="11" spans="1:8" x14ac:dyDescent="0.45">
      <c r="A11" s="21" t="s">
        <v>214</v>
      </c>
      <c r="B11" s="5"/>
      <c r="C11" s="5"/>
      <c r="D11" s="5"/>
      <c r="E11" s="26" t="str">
        <f t="shared" si="0"/>
        <v/>
      </c>
      <c r="F11" s="5"/>
      <c r="G11" s="5"/>
      <c r="H11" s="5"/>
    </row>
    <row r="12" spans="1:8" x14ac:dyDescent="0.45">
      <c r="A12" s="21" t="s">
        <v>215</v>
      </c>
      <c r="B12" s="5"/>
      <c r="C12" s="5"/>
      <c r="D12" s="5"/>
      <c r="E12" s="26" t="str">
        <f t="shared" si="0"/>
        <v/>
      </c>
      <c r="F12" s="5"/>
      <c r="G12" s="5"/>
      <c r="H12" s="5"/>
    </row>
    <row r="13" spans="1:8" x14ac:dyDescent="0.45">
      <c r="A13" s="21" t="s">
        <v>216</v>
      </c>
      <c r="B13" s="5"/>
      <c r="C13" s="5"/>
      <c r="D13" s="5"/>
      <c r="E13" s="26" t="str">
        <f t="shared" si="0"/>
        <v/>
      </c>
      <c r="F13" s="5"/>
      <c r="G13" s="5"/>
      <c r="H13" s="5"/>
    </row>
    <row r="14" spans="1:8" x14ac:dyDescent="0.45">
      <c r="A14" s="21" t="s">
        <v>217</v>
      </c>
      <c r="B14" s="5"/>
      <c r="C14" s="5"/>
      <c r="D14" s="5"/>
      <c r="E14" s="26" t="str">
        <f t="shared" si="0"/>
        <v/>
      </c>
      <c r="F14" s="5"/>
      <c r="G14" s="5"/>
      <c r="H14" s="5"/>
    </row>
    <row r="15" spans="1:8" x14ac:dyDescent="0.45">
      <c r="A15" s="21" t="s">
        <v>218</v>
      </c>
      <c r="B15" s="5"/>
      <c r="C15" s="5"/>
      <c r="D15" s="5"/>
      <c r="E15" s="26" t="str">
        <f t="shared" si="0"/>
        <v/>
      </c>
      <c r="F15" s="5"/>
      <c r="G15" s="5"/>
      <c r="H15" s="5"/>
    </row>
  </sheetData>
  <autoFilter ref="A4:H15" xr:uid="{00000000-0009-0000-0000-00000B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B00-000000000000}">
          <x14:formula1>
            <xm:f>Causes!$E$6:$E$30</xm:f>
          </x14:formula1>
          <xm:sqref>B6:B15</xm:sqref>
        </x14:dataValidation>
        <x14:dataValidation type="list" allowBlank="1" xr:uid="{00000000-0002-0000-0B00-000001000000}">
          <x14:formula1>
            <xm:f>'Check likelihoods'!$D$4:$W$4</xm:f>
          </x14:formula1>
          <xm:sqref>D6:D15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52" customWidth="1"/>
    <col min="2" max="2" width="18" customWidth="1"/>
    <col min="3" max="3" width="26" customWidth="1"/>
    <col min="4" max="4" width="22" customWidth="1"/>
    <col min="5" max="5" width="30" customWidth="1"/>
  </cols>
  <sheetData>
    <row r="1" spans="1:5" ht="17.649999999999999" x14ac:dyDescent="0.5">
      <c r="A1" s="1" t="s">
        <v>219</v>
      </c>
    </row>
    <row r="2" spans="1:5" x14ac:dyDescent="0.45">
      <c r="A2" s="2" t="s">
        <v>220</v>
      </c>
    </row>
    <row r="4" spans="1:5" ht="32" customHeight="1" x14ac:dyDescent="0.45">
      <c r="A4" s="11" t="s">
        <v>24</v>
      </c>
      <c r="B4" s="11" t="s">
        <v>221</v>
      </c>
      <c r="C4" s="11" t="s">
        <v>222</v>
      </c>
      <c r="D4" s="11" t="s">
        <v>76</v>
      </c>
      <c r="E4" s="11" t="s">
        <v>77</v>
      </c>
    </row>
    <row r="6" spans="1:5" x14ac:dyDescent="0.45">
      <c r="A6" s="15" t="s">
        <v>223</v>
      </c>
      <c r="B6" s="5"/>
      <c r="C6" s="27" t="s">
        <v>224</v>
      </c>
      <c r="D6" s="5"/>
      <c r="E6" s="5"/>
    </row>
    <row r="7" spans="1:5" x14ac:dyDescent="0.45">
      <c r="A7" s="15" t="s">
        <v>225</v>
      </c>
      <c r="B7" s="5"/>
      <c r="C7" s="27" t="s">
        <v>226</v>
      </c>
      <c r="D7" s="5"/>
      <c r="E7" s="5"/>
    </row>
    <row r="8" spans="1:5" x14ac:dyDescent="0.45">
      <c r="A8" s="15" t="s">
        <v>227</v>
      </c>
      <c r="B8" s="5"/>
      <c r="C8" s="27" t="s">
        <v>228</v>
      </c>
      <c r="D8" s="5"/>
      <c r="E8" s="5"/>
    </row>
    <row r="9" spans="1:5" x14ac:dyDescent="0.45">
      <c r="A9" s="15" t="s">
        <v>229</v>
      </c>
      <c r="B9" s="5"/>
      <c r="C9" s="27" t="s">
        <v>224</v>
      </c>
      <c r="D9" s="5"/>
      <c r="E9" s="5"/>
    </row>
    <row r="10" spans="1:5" x14ac:dyDescent="0.45">
      <c r="A10" s="15" t="s">
        <v>230</v>
      </c>
      <c r="B10" s="5"/>
      <c r="C10" s="27" t="s">
        <v>226</v>
      </c>
      <c r="D10" s="5"/>
      <c r="E10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Progress</vt:lpstr>
      <vt:lpstr>Scale</vt:lpstr>
      <vt:lpstr>Causes</vt:lpstr>
      <vt:lpstr>Checks</vt:lpstr>
      <vt:lpstr>Symptoms</vt:lpstr>
      <vt:lpstr>Context</vt:lpstr>
      <vt:lpstr>Check likelihoods</vt:lpstr>
      <vt:lpstr>Symptom likelihoods</vt:lpstr>
      <vt:lpstr>Check probabilities</vt:lpstr>
      <vt:lpstr>Symptom probabilities</vt:lpstr>
      <vt:lpstr>Rules</vt:lpstr>
      <vt:lpstr>Costs (optional)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Charis Opol</cp:lastModifiedBy>
  <dcterms:created xsi:type="dcterms:W3CDTF">2026-10-19T15:10:28Z</dcterms:created>
  <dcterms:modified xsi:type="dcterms:W3CDTF">2026-10-19T15:10:54Z</dcterms:modified>
</cp:coreProperties>
</file>